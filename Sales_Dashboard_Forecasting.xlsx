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6391C13A-4D94-45DE-BD6E-A7C7132A8E3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ales_Data" sheetId="1" r:id="rId1"/>
    <sheet name="Dashboard" sheetId="2" r:id="rId2"/>
    <sheet name="Regional_Summary" sheetId="3" r:id="rId3"/>
    <sheet name="Product_Summary" sheetId="4" r:id="rId4"/>
    <sheet name="Monthly_Trend" sheetId="6" r:id="rId5"/>
  </sheets>
  <definedNames>
    <definedName name="_xlchart.v1.0" hidden="1">Monthly_Trend!$A$3:$A$36</definedName>
    <definedName name="_xlchart.v1.1" hidden="1">Monthly_Trend!$B$2</definedName>
    <definedName name="_xlchart.v1.10" hidden="1">Monthly_Trend!$C$2</definedName>
    <definedName name="_xlchart.v1.11" hidden="1">Monthly_Trend!$C$3:$C$36</definedName>
    <definedName name="_xlchart.v1.12" hidden="1">Monthly_Trend!$D$2</definedName>
    <definedName name="_xlchart.v1.13" hidden="1">Monthly_Trend!$D$3:$D$36</definedName>
    <definedName name="_xlchart.v1.2" hidden="1">Monthly_Trend!$B$3:$B$36</definedName>
    <definedName name="_xlchart.v1.3" hidden="1">Monthly_Trend!$C$2</definedName>
    <definedName name="_xlchart.v1.4" hidden="1">Monthly_Trend!$C$3:$C$36</definedName>
    <definedName name="_xlchart.v1.5" hidden="1">Monthly_Trend!$D$2</definedName>
    <definedName name="_xlchart.v1.6" hidden="1">Monthly_Trend!$D$3:$D$36</definedName>
    <definedName name="_xlchart.v1.7" hidden="1">Monthly_Trend!$A$3:$A$36</definedName>
    <definedName name="_xlchart.v1.8" hidden="1">Monthly_Trend!$B$2</definedName>
    <definedName name="_xlchart.v1.9" hidden="1">Monthly_Trend!$B$3:$B$36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D36" i="6"/>
  <c r="C36" i="6"/>
  <c r="D35" i="6"/>
  <c r="C35" i="6"/>
  <c r="D34" i="6"/>
  <c r="C34" i="6"/>
  <c r="C33" i="6"/>
  <c r="D33" i="6" s="1"/>
  <c r="C32" i="6"/>
  <c r="D32" i="6" s="1"/>
  <c r="C31" i="6"/>
  <c r="D31" i="6" s="1"/>
  <c r="D30" i="6"/>
  <c r="C30" i="6"/>
  <c r="D29" i="6"/>
  <c r="C29" i="6"/>
  <c r="D28" i="6"/>
  <c r="C28" i="6"/>
  <c r="C27" i="6"/>
  <c r="D27" i="6" s="1"/>
  <c r="C26" i="6"/>
  <c r="D26" i="6" s="1"/>
  <c r="C25" i="6"/>
  <c r="D25" i="6" s="1"/>
  <c r="D24" i="6"/>
  <c r="C24" i="6"/>
  <c r="D23" i="6"/>
  <c r="C23" i="6"/>
  <c r="D22" i="6"/>
  <c r="C22" i="6"/>
  <c r="C21" i="6"/>
  <c r="D21" i="6" s="1"/>
  <c r="C20" i="6"/>
  <c r="D20" i="6" s="1"/>
  <c r="C19" i="6"/>
  <c r="D19" i="6" s="1"/>
  <c r="D18" i="6"/>
  <c r="C18" i="6"/>
  <c r="D17" i="6"/>
  <c r="C17" i="6"/>
  <c r="D16" i="6"/>
  <c r="C16" i="6"/>
  <c r="C15" i="6"/>
  <c r="D15" i="6" s="1"/>
  <c r="C14" i="6"/>
  <c r="D14" i="6" s="1"/>
  <c r="C13" i="6"/>
  <c r="D13" i="6" s="1"/>
  <c r="D12" i="6"/>
  <c r="C12" i="6"/>
  <c r="D11" i="6"/>
  <c r="C11" i="6"/>
  <c r="D10" i="6"/>
  <c r="C10" i="6"/>
  <c r="C9" i="6"/>
  <c r="D9" i="6" s="1"/>
  <c r="C8" i="6"/>
  <c r="D8" i="6" s="1"/>
  <c r="C7" i="6"/>
  <c r="D7" i="6" s="1"/>
  <c r="D6" i="6"/>
  <c r="C6" i="6"/>
  <c r="D5" i="6"/>
  <c r="C5" i="6"/>
  <c r="D4" i="6"/>
  <c r="C14" i="4"/>
  <c r="B14" i="4"/>
  <c r="D14" i="4" s="1"/>
  <c r="C13" i="4"/>
  <c r="B13" i="4"/>
  <c r="D13" i="4" s="1"/>
  <c r="C12" i="4"/>
  <c r="B12" i="4"/>
  <c r="D12" i="4" s="1"/>
  <c r="C11" i="4"/>
  <c r="B11" i="4"/>
  <c r="D11" i="4" s="1"/>
  <c r="C10" i="4"/>
  <c r="B10" i="4"/>
  <c r="D10" i="4" s="1"/>
  <c r="C9" i="4"/>
  <c r="B9" i="4"/>
  <c r="D9" i="4" s="1"/>
  <c r="C8" i="4"/>
  <c r="B8" i="4"/>
  <c r="D8" i="4" s="1"/>
  <c r="C7" i="4"/>
  <c r="B7" i="4"/>
  <c r="D7" i="4" s="1"/>
  <c r="C6" i="4"/>
  <c r="B6" i="4"/>
  <c r="D6" i="4" s="1"/>
  <c r="C5" i="4"/>
  <c r="B5" i="4"/>
  <c r="D5" i="4" s="1"/>
  <c r="C4" i="4"/>
  <c r="B4" i="4"/>
  <c r="D4" i="4" s="1"/>
  <c r="C3" i="4"/>
  <c r="B3" i="4"/>
  <c r="D3" i="4" s="1"/>
  <c r="C6" i="3"/>
  <c r="B6" i="3"/>
  <c r="D6" i="3" s="1"/>
  <c r="C5" i="3"/>
  <c r="B5" i="3"/>
  <c r="D5" i="3" s="1"/>
  <c r="C4" i="3"/>
  <c r="B4" i="3"/>
  <c r="D4" i="3" s="1"/>
  <c r="C3" i="3"/>
  <c r="B3" i="3"/>
  <c r="D3" i="3" s="1"/>
  <c r="Q5" i="2"/>
  <c r="L5" i="2"/>
  <c r="F5" i="2"/>
  <c r="A5" i="2"/>
</calcChain>
</file>

<file path=xl/sharedStrings.xml><?xml version="1.0" encoding="utf-8"?>
<sst xmlns="http://schemas.openxmlformats.org/spreadsheetml/2006/main" count="5265" uniqueCount="86">
  <si>
    <t>Date</t>
  </si>
  <si>
    <t>Year</t>
  </si>
  <si>
    <t>Month</t>
  </si>
  <si>
    <t>Month_Num</t>
  </si>
  <si>
    <t>Region</t>
  </si>
  <si>
    <t>Product</t>
  </si>
  <si>
    <t>Units_Sold</t>
  </si>
  <si>
    <t>Unit_Price</t>
  </si>
  <si>
    <t>Revenue</t>
  </si>
  <si>
    <t>Growth_%</t>
  </si>
  <si>
    <t>January</t>
  </si>
  <si>
    <t>North</t>
  </si>
  <si>
    <t>Product_A</t>
  </si>
  <si>
    <t>East</t>
  </si>
  <si>
    <t>Product_C</t>
  </si>
  <si>
    <t>Product_D</t>
  </si>
  <si>
    <t>Product_E</t>
  </si>
  <si>
    <t>Product_F</t>
  </si>
  <si>
    <t>Product_G</t>
  </si>
  <si>
    <t>Product_H</t>
  </si>
  <si>
    <t>Product_I</t>
  </si>
  <si>
    <t>Product_J</t>
  </si>
  <si>
    <t>Product_K</t>
  </si>
  <si>
    <t>West</t>
  </si>
  <si>
    <t>Product_B</t>
  </si>
  <si>
    <t>Product_L</t>
  </si>
  <si>
    <t>South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</si>
  <si>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</si>
  <si>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</si>
  <si>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</si>
  <si>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</si>
  <si>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</si>
  <si>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</si>
  <si>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</si>
  <si>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</si>
  <si>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</si>
  <si>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</si>
  <si>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</si>
  <si>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SALES DASHBOARD &amp; FORECASTING</t>
  </si>
  <si>
    <t>KEY PERFORMANCE INDICATORS</t>
  </si>
  <si>
    <t>Total Revenue</t>
  </si>
  <si>
    <t>Total Units</t>
  </si>
  <si>
    <t>Avg Growth %</t>
  </si>
  <si>
    <t>Avg Sale Value</t>
  </si>
  <si>
    <t>REVENUE BY REGION</t>
  </si>
  <si>
    <t>Avg Revenue per Unit</t>
  </si>
  <si>
    <t>REVENUE BY PRODUCT</t>
  </si>
  <si>
    <t>Month_Period</t>
  </si>
  <si>
    <t>2023-01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</si>
  <si>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</si>
  <si>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</si>
  <si>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</si>
  <si>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</si>
  <si>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</si>
  <si>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</si>
  <si>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</si>
  <si>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</si>
  <si>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</si>
  <si>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</si>
  <si>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</si>
  <si>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</si>
  <si>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</si>
  <si>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</si>
  <si>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</si>
  <si>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</si>
  <si>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</si>
  <si>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</si>
  <si>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</si>
  <si>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</si>
  <si>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</si>
  <si>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</si>
  <si>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</si>
  <si>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</si>
  <si>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</si>
  <si>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</si>
  <si>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</si>
  <si>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</si>
  <si>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</si>
  <si>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</si>
  <si>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</si>
  <si>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</si>
  <si>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</si>
  <si>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MONTHLY REVENUE TREND &amp; YoY GROWTH</t>
  </si>
  <si>
    <t>Total_Revenue</t>
  </si>
  <si>
    <t>MoM_Growth_%</t>
  </si>
  <si>
    <t>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</si>
</sst>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00B05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03864"/>
        <bgColor rgb="FF203864"/>
      </patternFill>
    </fill>
    <fill>
      <patternFill patternType="solid">
        <fgColor rgb="FF70AD47"/>
        <bgColor rgb="FF70AD47"/>
      </patternFill>
    </fill>
    <fill>
      <patternFill patternType="solid">
        <fgColor theme="5" tint="0.79998168889431442"/>
        <bgColor rgb="FFE7E6E6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0" fontId="6" fillId="4" borderId="0" xfId="0" applyFont="1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/>
    <xf numFmtId="0" fontId="2" fillId="3" borderId="0" xfId="0" applyFont="1" applyFill="1" applyAlignment="1">
      <alignment horizontal="center" vertical="center"/>
    </xf>
    <xf numFmtId="0" fontId="5" fillId="2" borderId="0" xfId="0" applyFont="1" applyFill="1"/>
    <xf numFmtId="0" fontId="0" fillId="0" borderId="0" xfId="0"/>
    <xf numFmtId="2" fontId="0" fillId="0" borderId="0" xfId="0" applyNumberFormat="1" applyAlignment="1">
      <alignment horizontal="center"/>
    </xf>
    <xf numFmtId="2" fontId="0" fillId="0" borderId="0" xfId="0" applyNumberFormat="1"/>
    <xf numFmtId="0" fontId="3" fillId="5" borderId="0" xfId="0" applyFont="1" applyFill="1" applyAlignment="1">
      <alignment horizontal="center" vertical="center"/>
    </xf>
    <xf numFmtId="0" fontId="0" fillId="6" borderId="0" xfId="0" applyFill="1"/>
    <xf numFmtId="2" fontId="4" fillId="6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10" fontId="4" fillId="6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Revenue BY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Regional_Summary!$B$2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F82-441F-8509-986BC53190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8F82-441F-8509-986BC53190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8F82-441F-8509-986BC53190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8F82-441F-8509-986BC53190A1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Regional_Summary!$A$3:$A$6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Regional_Summary!$B$3:$B$6</c:f>
              <c:numCache>
                <c:formatCode>0.00</c:formatCode>
                <c:ptCount val="4"/>
                <c:pt idx="0">
                  <c:v>18917999.809999991</c:v>
                </c:pt>
                <c:pt idx="1">
                  <c:v>20180348.640000004</c:v>
                </c:pt>
                <c:pt idx="2">
                  <c:v>19380322.020000007</c:v>
                </c:pt>
                <c:pt idx="3">
                  <c:v>19302195.529999994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82-441F-8509-986BC5319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Product_Summary!$B$2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Product_Summary!$A$3:$A$14</c:f>
              <c:strCache>
                <c:ptCount val="12"/>
                <c:pt idx="0">
                  <c:v>Product_A</c:v>
                </c:pt>
                <c:pt idx="1">
                  <c:v>Product_B</c:v>
                </c:pt>
                <c:pt idx="2">
                  <c:v>Product_C</c:v>
                </c:pt>
                <c:pt idx="3">
                  <c:v>Product_D</c:v>
                </c:pt>
                <c:pt idx="4">
                  <c:v>Product_E</c:v>
                </c:pt>
                <c:pt idx="5">
                  <c:v>Product_F</c:v>
                </c:pt>
                <c:pt idx="6">
                  <c:v>Product_G</c:v>
                </c:pt>
                <c:pt idx="7">
                  <c:v>Product_H</c:v>
                </c:pt>
                <c:pt idx="8">
                  <c:v>Product_I</c:v>
                </c:pt>
                <c:pt idx="9">
                  <c:v>Product_J</c:v>
                </c:pt>
                <c:pt idx="10">
                  <c:v>Product_K</c:v>
                </c:pt>
                <c:pt idx="11">
                  <c:v>Product_L</c:v>
                </c:pt>
              </c:strCache>
            </c:strRef>
          </c:cat>
          <c:val>
            <c:numRef>
              <c:f>Product_Summary!$B$3:$B$14</c:f>
              <c:numCache>
                <c:formatCode>0.00</c:formatCode>
                <c:ptCount val="12"/>
                <c:pt idx="0">
                  <c:v>5870583.160000002</c:v>
                </c:pt>
                <c:pt idx="1">
                  <c:v>5882264.6399999997</c:v>
                </c:pt>
                <c:pt idx="2">
                  <c:v>6068712.5400000028</c:v>
                </c:pt>
                <c:pt idx="3">
                  <c:v>6280942.0700000012</c:v>
                </c:pt>
                <c:pt idx="4">
                  <c:v>6818899.9700000035</c:v>
                </c:pt>
                <c:pt idx="5">
                  <c:v>6294365.0700000003</c:v>
                </c:pt>
                <c:pt idx="6">
                  <c:v>6759086.0199999986</c:v>
                </c:pt>
                <c:pt idx="7">
                  <c:v>6381293.0599999921</c:v>
                </c:pt>
                <c:pt idx="8">
                  <c:v>7177511.7900000019</c:v>
                </c:pt>
                <c:pt idx="9">
                  <c:v>6700911.4100000001</c:v>
                </c:pt>
                <c:pt idx="10">
                  <c:v>6579946.160000002</c:v>
                </c:pt>
                <c:pt idx="11">
                  <c:v>6966350.1100000013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6-4434-AF1C-9633AC824AA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1024287"/>
        <c:axId val="1321039167"/>
      </c:barChart>
      <c:catAx>
        <c:axId val="132102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39167"/>
        <c:crosses val="autoZero"/>
        <c:auto val="1"/>
        <c:lblAlgn val="ctr"/>
        <c:lblOffset val="100"/>
        <c:noMultiLvlLbl val="0"/>
      </c:catAx>
      <c:valAx>
        <c:axId val="132103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02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Monthly_Trend!$C$2:$C$3</c:f>
              <c:strCache>
                <c:ptCount val="2"/>
                <c:pt idx="0">
                  <c:v>MoM_Growth_%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Monthly_Trend!$A$4:$A$36</c:f>
              <c:strCache>
                <c:ptCount val="33"/>
                <c:pt idx="0">
                  <c:v>2023-03</c:v>
                </c:pt>
                <c:pt idx="1">
                  <c:v>2023-04</c:v>
                </c:pt>
                <c:pt idx="2">
                  <c:v>2023-05</c:v>
                </c:pt>
                <c:pt idx="3">
                  <c:v>2023-06</c:v>
                </c:pt>
                <c:pt idx="4">
                  <c:v>2023-07</c:v>
                </c:pt>
                <c:pt idx="5">
                  <c:v>2023-08</c:v>
                </c:pt>
                <c:pt idx="6">
                  <c:v>2023-09</c:v>
                </c:pt>
                <c:pt idx="7">
                  <c:v>2023-10</c:v>
                </c:pt>
                <c:pt idx="8">
                  <c:v>2023-11</c:v>
                </c:pt>
                <c:pt idx="9">
                  <c:v>2023-12</c:v>
                </c:pt>
                <c:pt idx="10">
                  <c:v>2024-01</c:v>
                </c:pt>
                <c:pt idx="11">
                  <c:v>2024-02</c:v>
                </c:pt>
                <c:pt idx="12">
                  <c:v>2024-03</c:v>
                </c:pt>
                <c:pt idx="13">
                  <c:v>2024-04</c:v>
                </c:pt>
                <c:pt idx="14">
                  <c:v>2024-05</c:v>
                </c:pt>
                <c:pt idx="15">
                  <c:v>2024-06</c:v>
                </c:pt>
                <c:pt idx="16">
                  <c:v>2024-07</c:v>
                </c:pt>
                <c:pt idx="17">
                  <c:v>2024-08</c:v>
                </c:pt>
                <c:pt idx="18">
                  <c:v>2024-09</c:v>
                </c:pt>
                <c:pt idx="19">
                  <c:v>2024-10</c:v>
                </c:pt>
                <c:pt idx="20">
                  <c:v>2024-11</c:v>
                </c:pt>
                <c:pt idx="21">
                  <c:v>2024-12</c:v>
                </c:pt>
                <c:pt idx="22">
                  <c:v>2025-01</c:v>
                </c:pt>
                <c:pt idx="23">
                  <c:v>2025-02</c:v>
                </c:pt>
                <c:pt idx="24">
                  <c:v>2025-03</c:v>
                </c:pt>
                <c:pt idx="25">
                  <c:v>2025-04</c:v>
                </c:pt>
                <c:pt idx="26">
                  <c:v>2025-05</c:v>
                </c:pt>
                <c:pt idx="27">
                  <c:v>2025-06</c:v>
                </c:pt>
                <c:pt idx="28">
                  <c:v>2025-07</c:v>
                </c:pt>
                <c:pt idx="29">
                  <c:v>2025-08</c:v>
                </c:pt>
                <c:pt idx="30">
                  <c:v>2025-09</c:v>
                </c:pt>
                <c:pt idx="31">
                  <c:v>2025-10</c:v>
                </c:pt>
                <c:pt idx="32">
                  <c:v>2025-11</c:v>
                </c:pt>
              </c:strCache>
            </c:strRef>
          </c:cat>
          <c:val>
            <c:numRef>
              <c:f>Monthly_Trend!$C$4:$C$36</c:f>
              <c:numCache>
                <c:formatCode>0.00%</c:formatCode>
                <c:ptCount val="33"/>
                <c:pt idx="0">
                  <c:v>-0.36797469194333987</c:v>
                </c:pt>
                <c:pt idx="1">
                  <c:v>-0.1892190421857029</c:v>
                </c:pt>
                <c:pt idx="2">
                  <c:v>1.1050481568275825</c:v>
                </c:pt>
                <c:pt idx="3">
                  <c:v>-0.60970597912159308</c:v>
                </c:pt>
                <c:pt idx="4">
                  <c:v>0.48425487511606163</c:v>
                </c:pt>
                <c:pt idx="5">
                  <c:v>-0.26431941756798044</c:v>
                </c:pt>
                <c:pt idx="6">
                  <c:v>3.1171378846805729E-2</c:v>
                </c:pt>
                <c:pt idx="7">
                  <c:v>5.2516391366841775E-2</c:v>
                </c:pt>
                <c:pt idx="8">
                  <c:v>-3.9503611111006892E-2</c:v>
                </c:pt>
                <c:pt idx="9">
                  <c:v>0.22861028190508331</c:v>
                </c:pt>
                <c:pt idx="10">
                  <c:v>-0.14582436963880946</c:v>
                </c:pt>
                <c:pt idx="11">
                  <c:v>1.8590766533762345E-2</c:v>
                </c:pt>
                <c:pt idx="12">
                  <c:v>-9.3890358287466603E-3</c:v>
                </c:pt>
                <c:pt idx="13">
                  <c:v>-0.11121759704172196</c:v>
                </c:pt>
                <c:pt idx="14">
                  <c:v>0.24501847074187244</c:v>
                </c:pt>
                <c:pt idx="15">
                  <c:v>-9.4029527256020956E-2</c:v>
                </c:pt>
                <c:pt idx="16">
                  <c:v>4.798326804966245E-2</c:v>
                </c:pt>
                <c:pt idx="17">
                  <c:v>-0.29052568099061482</c:v>
                </c:pt>
                <c:pt idx="18">
                  <c:v>0.43486463142980541</c:v>
                </c:pt>
                <c:pt idx="19">
                  <c:v>-0.11728598432205718</c:v>
                </c:pt>
                <c:pt idx="20">
                  <c:v>5.9635416181872875E-2</c:v>
                </c:pt>
                <c:pt idx="21">
                  <c:v>-3.0199845182369966E-2</c:v>
                </c:pt>
                <c:pt idx="22">
                  <c:v>0.18327562207623202</c:v>
                </c:pt>
                <c:pt idx="23">
                  <c:v>3.0402888870532527E-2</c:v>
                </c:pt>
                <c:pt idx="24">
                  <c:v>-0.3183346327280131</c:v>
                </c:pt>
                <c:pt idx="25">
                  <c:v>0.18815938975287294</c:v>
                </c:pt>
                <c:pt idx="26">
                  <c:v>-0.148977094061707</c:v>
                </c:pt>
                <c:pt idx="27">
                  <c:v>0.15512587617635731</c:v>
                </c:pt>
                <c:pt idx="28">
                  <c:v>-0.11334738476477242</c:v>
                </c:pt>
                <c:pt idx="29">
                  <c:v>0.25388689682376903</c:v>
                </c:pt>
                <c:pt idx="30">
                  <c:v>2.0780610712047311E-2</c:v>
                </c:pt>
                <c:pt idx="31">
                  <c:v>-0.16862954625483023</c:v>
                </c:pt>
                <c:pt idx="32">
                  <c:v>0.20270373864828772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F-4F51-85D6-5C55720DE6E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5913167"/>
        <c:axId val="1045914607"/>
      </c:barChart>
      <c:catAx>
        <c:axId val="1045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14607"/>
        <c:crosses val="autoZero"/>
        <c:auto val="1"/>
        <c:lblAlgn val="ctr"/>
        <c:lblOffset val="100"/>
        <c:noMultiLvlLbl val="0"/>
      </c:catAx>
      <c:valAx>
        <c:axId val="104591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1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190500</xdr:colOff>
      <xdr:row>22</xdr:row>
      <xdr:rowOff>49696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598E2-C18E-4261-9A2A-88944331D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56736</xdr:colOff>
      <xdr:row>5</xdr:row>
      <xdr:rowOff>0</xdr:rowOff>
    </xdr:from>
    <xdr:to>
      <xdr:col>11</xdr:col>
      <xdr:colOff>755374</xdr:colOff>
      <xdr:row>22</xdr:row>
      <xdr:rowOff>49696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2F4509-36F8-45FA-AEBB-1D42CC6BD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703194</xdr:colOff>
      <xdr:row>4</xdr:row>
      <xdr:rowOff>198781</xdr:rowOff>
    </xdr:from>
    <xdr:to>
      <xdr:col>18</xdr:col>
      <xdr:colOff>607944</xdr:colOff>
      <xdr:row>22</xdr:row>
      <xdr:rowOff>41412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001035-B9E9-468D-A50E-ACD58B24C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9"/>
  <sheetViews>
    <sheetView workbookViewId="0">
      <selection activeCell="L3" sqref="L3"/>
    </sheetView>
  </sheetViews>
  <sheetFormatPr defaultRowHeight="15" x14ac:dyDescent="0.25"/>
  <cols>
    <col min="1" max="10" width="1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44927</v>
      </c>
      <c r="B2">
        <v>2023</v>
      </c>
      <c r="C2" t="s">
        <v>10</v>
      </c>
      <c r="D2">
        <v>1</v>
      </c>
      <c r="E2" t="s">
        <v>11</v>
      </c>
      <c r="F2" t="s">
        <v>12</v>
      </c>
      <c r="G2" s="3">
        <v>152</v>
      </c>
      <c r="H2" s="3">
        <v>163.38</v>
      </c>
      <c r="I2" s="3">
        <v>24833.759999999998</v>
      </c>
      <c r="J2" s="3">
        <v>-7.66</v>
      </c>
    </row>
    <row r="3" spans="1:10" x14ac:dyDescent="0.25">
      <c r="A3" s="2">
        <v>44927</v>
      </c>
      <c r="B3">
        <v>2023</v>
      </c>
      <c r="C3" t="s">
        <v>10</v>
      </c>
      <c r="D3">
        <v>1</v>
      </c>
      <c r="E3" t="s">
        <v>13</v>
      </c>
      <c r="F3" t="s">
        <v>14</v>
      </c>
      <c r="G3" s="3">
        <v>570</v>
      </c>
      <c r="H3" s="3">
        <v>159</v>
      </c>
      <c r="I3" s="3">
        <v>90630</v>
      </c>
      <c r="J3" s="3">
        <v>-7.05</v>
      </c>
    </row>
    <row r="4" spans="1:10" x14ac:dyDescent="0.25">
      <c r="A4" s="2">
        <v>44927</v>
      </c>
      <c r="B4">
        <v>2023</v>
      </c>
      <c r="C4" t="s">
        <v>10</v>
      </c>
      <c r="D4">
        <v>1</v>
      </c>
      <c r="E4" t="s">
        <v>13</v>
      </c>
      <c r="F4" t="s">
        <v>15</v>
      </c>
      <c r="G4" s="3">
        <v>521</v>
      </c>
      <c r="H4" s="3">
        <v>22.53</v>
      </c>
      <c r="I4" s="3">
        <v>11738.13</v>
      </c>
      <c r="J4" s="3">
        <v>-7.05</v>
      </c>
    </row>
    <row r="5" spans="1:10" x14ac:dyDescent="0.25">
      <c r="A5" s="2">
        <v>44927</v>
      </c>
      <c r="B5">
        <v>2023</v>
      </c>
      <c r="C5" t="s">
        <v>10</v>
      </c>
      <c r="D5">
        <v>1</v>
      </c>
      <c r="E5" t="s">
        <v>13</v>
      </c>
      <c r="F5" t="s">
        <v>16</v>
      </c>
      <c r="G5" s="3">
        <v>441</v>
      </c>
      <c r="H5" s="3">
        <v>151.22</v>
      </c>
      <c r="I5" s="3">
        <v>66688.02</v>
      </c>
      <c r="J5" s="3">
        <v>15.85</v>
      </c>
    </row>
    <row r="6" spans="1:10" x14ac:dyDescent="0.25">
      <c r="A6" s="2">
        <v>44927</v>
      </c>
      <c r="B6">
        <v>2023</v>
      </c>
      <c r="C6" t="s">
        <v>10</v>
      </c>
      <c r="D6">
        <v>1</v>
      </c>
      <c r="E6" t="s">
        <v>13</v>
      </c>
      <c r="F6" t="s">
        <v>17</v>
      </c>
      <c r="G6" s="3">
        <v>539</v>
      </c>
      <c r="H6" s="3">
        <v>84.52</v>
      </c>
      <c r="I6" s="3">
        <v>45556.28</v>
      </c>
      <c r="J6" s="3">
        <v>-10.37</v>
      </c>
    </row>
    <row r="7" spans="1:10" x14ac:dyDescent="0.25">
      <c r="A7" s="2">
        <v>44927</v>
      </c>
      <c r="B7">
        <v>2023</v>
      </c>
      <c r="C7" t="s">
        <v>10</v>
      </c>
      <c r="D7">
        <v>1</v>
      </c>
      <c r="E7" t="s">
        <v>13</v>
      </c>
      <c r="F7" t="s">
        <v>18</v>
      </c>
      <c r="G7" s="3">
        <v>184</v>
      </c>
      <c r="H7" s="3">
        <v>173.01</v>
      </c>
      <c r="I7" s="3">
        <v>31833.84</v>
      </c>
      <c r="J7" s="3">
        <v>2.98</v>
      </c>
    </row>
    <row r="8" spans="1:10" x14ac:dyDescent="0.25">
      <c r="A8" s="2">
        <v>44927</v>
      </c>
      <c r="B8">
        <v>2023</v>
      </c>
      <c r="C8" t="s">
        <v>10</v>
      </c>
      <c r="D8">
        <v>1</v>
      </c>
      <c r="E8" t="s">
        <v>13</v>
      </c>
      <c r="F8" t="s">
        <v>19</v>
      </c>
      <c r="G8" s="3">
        <v>82</v>
      </c>
      <c r="H8" s="3">
        <v>31.44</v>
      </c>
      <c r="I8" s="3">
        <v>2578.08</v>
      </c>
      <c r="J8" s="3">
        <v>-2.56</v>
      </c>
    </row>
    <row r="9" spans="1:10" x14ac:dyDescent="0.25">
      <c r="A9" s="2">
        <v>44927</v>
      </c>
      <c r="B9">
        <v>2023</v>
      </c>
      <c r="C9" t="s">
        <v>10</v>
      </c>
      <c r="D9">
        <v>1</v>
      </c>
      <c r="E9" t="s">
        <v>13</v>
      </c>
      <c r="F9" t="s">
        <v>20</v>
      </c>
      <c r="G9" s="3">
        <v>777</v>
      </c>
      <c r="H9" s="3">
        <v>139.87</v>
      </c>
      <c r="I9" s="3">
        <v>108678.99</v>
      </c>
      <c r="J9" s="3">
        <v>8.65</v>
      </c>
    </row>
    <row r="10" spans="1:10" x14ac:dyDescent="0.25">
      <c r="A10" s="2">
        <v>44927</v>
      </c>
      <c r="B10">
        <v>2023</v>
      </c>
      <c r="C10" t="s">
        <v>10</v>
      </c>
      <c r="D10">
        <v>1</v>
      </c>
      <c r="E10" t="s">
        <v>13</v>
      </c>
      <c r="F10" t="s">
        <v>21</v>
      </c>
      <c r="G10" s="3">
        <v>775</v>
      </c>
      <c r="H10" s="3">
        <v>179.7</v>
      </c>
      <c r="I10" s="3">
        <v>139267.5</v>
      </c>
      <c r="J10" s="3">
        <v>3.89</v>
      </c>
    </row>
    <row r="11" spans="1:10" x14ac:dyDescent="0.25">
      <c r="A11" s="2">
        <v>44927</v>
      </c>
      <c r="B11">
        <v>2023</v>
      </c>
      <c r="C11" t="s">
        <v>10</v>
      </c>
      <c r="D11">
        <v>1</v>
      </c>
      <c r="E11" t="s">
        <v>13</v>
      </c>
      <c r="F11" t="s">
        <v>22</v>
      </c>
      <c r="G11" s="3">
        <v>662</v>
      </c>
      <c r="H11" s="3">
        <v>194.91</v>
      </c>
      <c r="I11" s="3">
        <v>129030.42</v>
      </c>
      <c r="J11" s="3">
        <v>18.96</v>
      </c>
    </row>
    <row r="12" spans="1:10" x14ac:dyDescent="0.25">
      <c r="A12" s="2">
        <v>44927</v>
      </c>
      <c r="B12">
        <v>2023</v>
      </c>
      <c r="C12" t="s">
        <v>10</v>
      </c>
      <c r="D12">
        <v>1</v>
      </c>
      <c r="E12" t="s">
        <v>23</v>
      </c>
      <c r="F12" t="s">
        <v>12</v>
      </c>
      <c r="G12" s="3">
        <v>442</v>
      </c>
      <c r="H12" s="3">
        <v>147.91999999999999</v>
      </c>
      <c r="I12" s="3">
        <v>65380.639999999999</v>
      </c>
      <c r="J12" s="3">
        <v>-10.56</v>
      </c>
    </row>
    <row r="13" spans="1:10" x14ac:dyDescent="0.25">
      <c r="A13" s="2">
        <v>44927</v>
      </c>
      <c r="B13">
        <v>2023</v>
      </c>
      <c r="C13" t="s">
        <v>10</v>
      </c>
      <c r="D13">
        <v>1</v>
      </c>
      <c r="E13" t="s">
        <v>23</v>
      </c>
      <c r="F13" t="s">
        <v>24</v>
      </c>
      <c r="G13" s="3">
        <v>510</v>
      </c>
      <c r="H13" s="3">
        <v>56.31</v>
      </c>
      <c r="I13" s="3">
        <v>28718.1</v>
      </c>
      <c r="J13" s="3">
        <v>20.83</v>
      </c>
    </row>
    <row r="14" spans="1:10" x14ac:dyDescent="0.25">
      <c r="A14" s="2">
        <v>44927</v>
      </c>
      <c r="B14">
        <v>2023</v>
      </c>
      <c r="C14" t="s">
        <v>10</v>
      </c>
      <c r="D14">
        <v>1</v>
      </c>
      <c r="E14" t="s">
        <v>23</v>
      </c>
      <c r="F14" t="s">
        <v>14</v>
      </c>
      <c r="G14" s="3">
        <v>290</v>
      </c>
      <c r="H14" s="3">
        <v>76.58</v>
      </c>
      <c r="I14" s="3">
        <v>22208.2</v>
      </c>
      <c r="J14" s="3">
        <v>5.34</v>
      </c>
    </row>
    <row r="15" spans="1:10" x14ac:dyDescent="0.25">
      <c r="A15" s="2">
        <v>44927</v>
      </c>
      <c r="B15">
        <v>2023</v>
      </c>
      <c r="C15" t="s">
        <v>10</v>
      </c>
      <c r="D15">
        <v>1</v>
      </c>
      <c r="E15" t="s">
        <v>23</v>
      </c>
      <c r="F15" t="s">
        <v>15</v>
      </c>
      <c r="G15" s="3">
        <v>783</v>
      </c>
      <c r="H15" s="3">
        <v>45.08</v>
      </c>
      <c r="I15" s="3">
        <v>35297.64</v>
      </c>
      <c r="J15" s="3">
        <v>9.18</v>
      </c>
    </row>
    <row r="16" spans="1:10" x14ac:dyDescent="0.25">
      <c r="A16" s="2">
        <v>44927</v>
      </c>
      <c r="B16">
        <v>2023</v>
      </c>
      <c r="C16" t="s">
        <v>10</v>
      </c>
      <c r="D16">
        <v>1</v>
      </c>
      <c r="E16" t="s">
        <v>23</v>
      </c>
      <c r="F16" t="s">
        <v>16</v>
      </c>
      <c r="G16" s="3">
        <v>704</v>
      </c>
      <c r="H16" s="3">
        <v>156</v>
      </c>
      <c r="I16" s="3">
        <v>109824</v>
      </c>
      <c r="J16" s="3">
        <v>-5.85</v>
      </c>
    </row>
    <row r="17" spans="1:10" x14ac:dyDescent="0.25">
      <c r="A17" s="2">
        <v>44927</v>
      </c>
      <c r="B17">
        <v>2023</v>
      </c>
      <c r="C17" t="s">
        <v>10</v>
      </c>
      <c r="D17">
        <v>1</v>
      </c>
      <c r="E17" t="s">
        <v>23</v>
      </c>
      <c r="F17" t="s">
        <v>17</v>
      </c>
      <c r="G17" s="3">
        <v>209</v>
      </c>
      <c r="H17" s="3">
        <v>127.8</v>
      </c>
      <c r="I17" s="3">
        <v>26710.2</v>
      </c>
      <c r="J17" s="3">
        <v>12.79</v>
      </c>
    </row>
    <row r="18" spans="1:10" x14ac:dyDescent="0.25">
      <c r="A18" s="2">
        <v>44927</v>
      </c>
      <c r="B18">
        <v>2023</v>
      </c>
      <c r="C18" t="s">
        <v>10</v>
      </c>
      <c r="D18">
        <v>1</v>
      </c>
      <c r="E18" t="s">
        <v>23</v>
      </c>
      <c r="F18" t="s">
        <v>18</v>
      </c>
      <c r="G18" s="3">
        <v>627</v>
      </c>
      <c r="H18" s="3">
        <v>132.38</v>
      </c>
      <c r="I18" s="3">
        <v>83002.259999999995</v>
      </c>
      <c r="J18" s="3">
        <v>-3.17</v>
      </c>
    </row>
    <row r="19" spans="1:10" x14ac:dyDescent="0.25">
      <c r="A19" s="2">
        <v>44927</v>
      </c>
      <c r="B19">
        <v>2023</v>
      </c>
      <c r="C19" t="s">
        <v>10</v>
      </c>
      <c r="D19">
        <v>1</v>
      </c>
      <c r="E19" t="s">
        <v>23</v>
      </c>
      <c r="F19" t="s">
        <v>19</v>
      </c>
      <c r="G19" s="3">
        <v>695</v>
      </c>
      <c r="H19" s="3">
        <v>102.18</v>
      </c>
      <c r="I19" s="3">
        <v>71015.100000000006</v>
      </c>
      <c r="J19" s="3">
        <v>-6.26</v>
      </c>
    </row>
    <row r="20" spans="1:10" x14ac:dyDescent="0.25">
      <c r="A20" s="2">
        <v>44927</v>
      </c>
      <c r="B20">
        <v>2023</v>
      </c>
      <c r="C20" t="s">
        <v>10</v>
      </c>
      <c r="D20">
        <v>1</v>
      </c>
      <c r="E20" t="s">
        <v>23</v>
      </c>
      <c r="F20" t="s">
        <v>20</v>
      </c>
      <c r="G20" s="3">
        <v>389</v>
      </c>
      <c r="H20" s="3">
        <v>180.66</v>
      </c>
      <c r="I20" s="3">
        <v>70276.740000000005</v>
      </c>
      <c r="J20" s="3">
        <v>6.57</v>
      </c>
    </row>
    <row r="21" spans="1:10" x14ac:dyDescent="0.25">
      <c r="A21" s="2">
        <v>44927</v>
      </c>
      <c r="B21">
        <v>2023</v>
      </c>
      <c r="C21" t="s">
        <v>10</v>
      </c>
      <c r="D21">
        <v>1</v>
      </c>
      <c r="E21" t="s">
        <v>23</v>
      </c>
      <c r="F21" t="s">
        <v>21</v>
      </c>
      <c r="G21" s="3">
        <v>555</v>
      </c>
      <c r="H21" s="3">
        <v>41.98</v>
      </c>
      <c r="I21" s="3">
        <v>23298.9</v>
      </c>
      <c r="J21" s="3">
        <v>-0.75</v>
      </c>
    </row>
    <row r="22" spans="1:10" x14ac:dyDescent="0.25">
      <c r="A22" s="2">
        <v>44927</v>
      </c>
      <c r="B22">
        <v>2023</v>
      </c>
      <c r="C22" t="s">
        <v>10</v>
      </c>
      <c r="D22">
        <v>1</v>
      </c>
      <c r="E22" t="s">
        <v>23</v>
      </c>
      <c r="F22" t="s">
        <v>22</v>
      </c>
      <c r="G22" s="3">
        <v>239</v>
      </c>
      <c r="H22" s="3">
        <v>39.81</v>
      </c>
      <c r="I22" s="3">
        <v>9514.59</v>
      </c>
      <c r="J22" s="3">
        <v>-5.88</v>
      </c>
    </row>
    <row r="23" spans="1:10" x14ac:dyDescent="0.25">
      <c r="A23" s="2">
        <v>44927</v>
      </c>
      <c r="B23">
        <v>2023</v>
      </c>
      <c r="C23" t="s">
        <v>10</v>
      </c>
      <c r="D23">
        <v>1</v>
      </c>
      <c r="E23" t="s">
        <v>23</v>
      </c>
      <c r="F23" t="s">
        <v>25</v>
      </c>
      <c r="G23" s="3">
        <v>682</v>
      </c>
      <c r="H23" s="3">
        <v>167.24</v>
      </c>
      <c r="I23" s="3">
        <v>114057.68</v>
      </c>
      <c r="J23" s="3">
        <v>19.43</v>
      </c>
    </row>
    <row r="24" spans="1:10" x14ac:dyDescent="0.25">
      <c r="A24" s="2">
        <v>44927</v>
      </c>
      <c r="B24">
        <v>2023</v>
      </c>
      <c r="C24" t="s">
        <v>10</v>
      </c>
      <c r="D24">
        <v>1</v>
      </c>
      <c r="E24" t="s">
        <v>13</v>
      </c>
      <c r="F24" t="s">
        <v>24</v>
      </c>
      <c r="G24" s="3">
        <v>64</v>
      </c>
      <c r="H24" s="3">
        <v>49.75</v>
      </c>
      <c r="I24" s="3">
        <v>3184</v>
      </c>
      <c r="J24" s="3">
        <v>-14.37</v>
      </c>
    </row>
    <row r="25" spans="1:10" x14ac:dyDescent="0.25">
      <c r="A25" s="2">
        <v>44927</v>
      </c>
      <c r="B25">
        <v>2023</v>
      </c>
      <c r="C25" t="s">
        <v>10</v>
      </c>
      <c r="D25">
        <v>1</v>
      </c>
      <c r="E25" t="s">
        <v>13</v>
      </c>
      <c r="F25" t="s">
        <v>12</v>
      </c>
      <c r="G25" s="3">
        <v>237</v>
      </c>
      <c r="H25" s="3">
        <v>117.69</v>
      </c>
      <c r="I25" s="3">
        <v>27892.53</v>
      </c>
      <c r="J25" s="3">
        <v>-9.36</v>
      </c>
    </row>
    <row r="26" spans="1:10" x14ac:dyDescent="0.25">
      <c r="A26" s="2">
        <v>44927</v>
      </c>
      <c r="B26">
        <v>2023</v>
      </c>
      <c r="C26" t="s">
        <v>10</v>
      </c>
      <c r="D26">
        <v>1</v>
      </c>
      <c r="E26" t="s">
        <v>13</v>
      </c>
      <c r="F26" t="s">
        <v>25</v>
      </c>
      <c r="G26" s="3">
        <v>54</v>
      </c>
      <c r="H26" s="3">
        <v>121.03</v>
      </c>
      <c r="I26" s="3">
        <v>6535.62</v>
      </c>
      <c r="J26" s="3">
        <v>15.84</v>
      </c>
    </row>
    <row r="27" spans="1:10" x14ac:dyDescent="0.25">
      <c r="A27" s="2">
        <v>44927</v>
      </c>
      <c r="B27">
        <v>2023</v>
      </c>
      <c r="C27" t="s">
        <v>10</v>
      </c>
      <c r="D27">
        <v>1</v>
      </c>
      <c r="E27" t="s">
        <v>26</v>
      </c>
      <c r="F27" t="s">
        <v>22</v>
      </c>
      <c r="G27" s="3">
        <v>345</v>
      </c>
      <c r="H27" s="3">
        <v>172.02</v>
      </c>
      <c r="I27" s="3">
        <v>59346.9</v>
      </c>
      <c r="J27" s="3">
        <v>14.89</v>
      </c>
    </row>
    <row r="28" spans="1:10" x14ac:dyDescent="0.25">
      <c r="A28" s="2">
        <v>44927</v>
      </c>
      <c r="B28">
        <v>2023</v>
      </c>
      <c r="C28" t="s">
        <v>10</v>
      </c>
      <c r="D28">
        <v>1</v>
      </c>
      <c r="E28" t="s">
        <v>26</v>
      </c>
      <c r="F28" t="s">
        <v>25</v>
      </c>
      <c r="G28" s="3">
        <v>102</v>
      </c>
      <c r="H28" s="3">
        <v>125.62</v>
      </c>
      <c r="I28" s="3">
        <v>12813.24</v>
      </c>
      <c r="J28" s="3">
        <v>23.61</v>
      </c>
    </row>
    <row r="29" spans="1:10" x14ac:dyDescent="0.25">
      <c r="A29" s="2">
        <v>44927</v>
      </c>
      <c r="B29">
        <v>2023</v>
      </c>
      <c r="C29" t="s">
        <v>10</v>
      </c>
      <c r="D29">
        <v>1</v>
      </c>
      <c r="E29" t="s">
        <v>11</v>
      </c>
      <c r="F29" t="s">
        <v>24</v>
      </c>
      <c r="G29" s="3">
        <v>121</v>
      </c>
      <c r="H29" s="3">
        <v>127.76</v>
      </c>
      <c r="I29" s="3">
        <v>15458.96</v>
      </c>
      <c r="J29" s="3">
        <v>-8.76</v>
      </c>
    </row>
    <row r="30" spans="1:10" x14ac:dyDescent="0.25">
      <c r="A30" s="2">
        <v>44927</v>
      </c>
      <c r="B30">
        <v>2023</v>
      </c>
      <c r="C30" t="s">
        <v>10</v>
      </c>
      <c r="D30">
        <v>1</v>
      </c>
      <c r="E30" t="s">
        <v>11</v>
      </c>
      <c r="F30" t="s">
        <v>14</v>
      </c>
      <c r="G30" s="3">
        <v>516</v>
      </c>
      <c r="H30" s="3">
        <v>38</v>
      </c>
      <c r="I30" s="3">
        <v>19608</v>
      </c>
      <c r="J30" s="3">
        <v>3.37</v>
      </c>
    </row>
    <row r="31" spans="1:10" x14ac:dyDescent="0.25">
      <c r="A31" s="2">
        <v>44927</v>
      </c>
      <c r="B31">
        <v>2023</v>
      </c>
      <c r="C31" t="s">
        <v>10</v>
      </c>
      <c r="D31">
        <v>1</v>
      </c>
      <c r="E31" t="s">
        <v>11</v>
      </c>
      <c r="F31" t="s">
        <v>15</v>
      </c>
      <c r="G31" s="3">
        <v>422</v>
      </c>
      <c r="H31" s="3">
        <v>128.19999999999999</v>
      </c>
      <c r="I31" s="3">
        <v>54100.4</v>
      </c>
      <c r="J31" s="3">
        <v>13.32</v>
      </c>
    </row>
    <row r="32" spans="1:10" x14ac:dyDescent="0.25">
      <c r="A32" s="2">
        <v>44927</v>
      </c>
      <c r="B32">
        <v>2023</v>
      </c>
      <c r="C32" t="s">
        <v>10</v>
      </c>
      <c r="D32">
        <v>1</v>
      </c>
      <c r="E32" t="s">
        <v>11</v>
      </c>
      <c r="F32" t="s">
        <v>16</v>
      </c>
      <c r="G32" s="3">
        <v>711</v>
      </c>
      <c r="H32" s="3">
        <v>30.15</v>
      </c>
      <c r="I32" s="3">
        <v>21436.65</v>
      </c>
      <c r="J32" s="3">
        <v>13.88</v>
      </c>
    </row>
    <row r="33" spans="1:10" x14ac:dyDescent="0.25">
      <c r="A33" s="2">
        <v>44927</v>
      </c>
      <c r="B33">
        <v>2023</v>
      </c>
      <c r="C33" t="s">
        <v>10</v>
      </c>
      <c r="D33">
        <v>1</v>
      </c>
      <c r="E33" t="s">
        <v>11</v>
      </c>
      <c r="F33" t="s">
        <v>17</v>
      </c>
      <c r="G33" s="3">
        <v>463</v>
      </c>
      <c r="H33" s="3">
        <v>58.22</v>
      </c>
      <c r="I33" s="3">
        <v>26955.86</v>
      </c>
      <c r="J33" s="3">
        <v>-7.73</v>
      </c>
    </row>
    <row r="34" spans="1:10" x14ac:dyDescent="0.25">
      <c r="A34" s="2">
        <v>44927</v>
      </c>
      <c r="B34">
        <v>2023</v>
      </c>
      <c r="C34" t="s">
        <v>10</v>
      </c>
      <c r="D34">
        <v>1</v>
      </c>
      <c r="E34" t="s">
        <v>11</v>
      </c>
      <c r="F34" t="s">
        <v>18</v>
      </c>
      <c r="G34" s="3">
        <v>326</v>
      </c>
      <c r="H34" s="3">
        <v>131.15</v>
      </c>
      <c r="I34" s="3">
        <v>42754.9</v>
      </c>
      <c r="J34" s="3">
        <v>9.4700000000000006</v>
      </c>
    </row>
    <row r="35" spans="1:10" x14ac:dyDescent="0.25">
      <c r="A35" s="2">
        <v>44927</v>
      </c>
      <c r="B35">
        <v>2023</v>
      </c>
      <c r="C35" t="s">
        <v>10</v>
      </c>
      <c r="D35">
        <v>1</v>
      </c>
      <c r="E35" t="s">
        <v>11</v>
      </c>
      <c r="F35" t="s">
        <v>20</v>
      </c>
      <c r="G35" s="3">
        <v>108</v>
      </c>
      <c r="H35" s="3">
        <v>91.97</v>
      </c>
      <c r="I35" s="3">
        <v>9932.76</v>
      </c>
      <c r="J35" s="3">
        <v>-13.13</v>
      </c>
    </row>
    <row r="36" spans="1:10" x14ac:dyDescent="0.25">
      <c r="A36" s="2">
        <v>44927</v>
      </c>
      <c r="B36">
        <v>2023</v>
      </c>
      <c r="C36" t="s">
        <v>10</v>
      </c>
      <c r="D36">
        <v>1</v>
      </c>
      <c r="E36" t="s">
        <v>11</v>
      </c>
      <c r="F36" t="s">
        <v>21</v>
      </c>
      <c r="G36" s="3">
        <v>749</v>
      </c>
      <c r="H36" s="3">
        <v>85.95</v>
      </c>
      <c r="I36" s="3">
        <v>64376.55</v>
      </c>
      <c r="J36" s="3">
        <v>3.24</v>
      </c>
    </row>
    <row r="37" spans="1:10" x14ac:dyDescent="0.25">
      <c r="A37" s="2">
        <v>44927</v>
      </c>
      <c r="B37">
        <v>2023</v>
      </c>
      <c r="C37" t="s">
        <v>10</v>
      </c>
      <c r="D37">
        <v>1</v>
      </c>
      <c r="E37" t="s">
        <v>11</v>
      </c>
      <c r="F37" t="s">
        <v>22</v>
      </c>
      <c r="G37" s="3">
        <v>736</v>
      </c>
      <c r="H37" s="3">
        <v>131.31</v>
      </c>
      <c r="I37" s="3">
        <v>96644.160000000003</v>
      </c>
      <c r="J37" s="3">
        <v>0.3</v>
      </c>
    </row>
    <row r="38" spans="1:10" x14ac:dyDescent="0.25">
      <c r="A38" s="2">
        <v>44927</v>
      </c>
      <c r="B38">
        <v>2023</v>
      </c>
      <c r="C38" t="s">
        <v>10</v>
      </c>
      <c r="D38">
        <v>1</v>
      </c>
      <c r="E38" t="s">
        <v>11</v>
      </c>
      <c r="F38" t="s">
        <v>25</v>
      </c>
      <c r="G38" s="3">
        <v>293</v>
      </c>
      <c r="H38" s="3">
        <v>126.63</v>
      </c>
      <c r="I38" s="3">
        <v>37102.589999999997</v>
      </c>
      <c r="J38" s="3">
        <v>-13.14</v>
      </c>
    </row>
    <row r="39" spans="1:10" x14ac:dyDescent="0.25">
      <c r="A39" s="2">
        <v>44927</v>
      </c>
      <c r="B39">
        <v>2023</v>
      </c>
      <c r="C39" t="s">
        <v>10</v>
      </c>
      <c r="D39">
        <v>1</v>
      </c>
      <c r="E39" t="s">
        <v>11</v>
      </c>
      <c r="F39" t="s">
        <v>19</v>
      </c>
      <c r="G39" s="3">
        <v>302</v>
      </c>
      <c r="H39" s="3">
        <v>97.75</v>
      </c>
      <c r="I39" s="3">
        <v>29520.5</v>
      </c>
      <c r="J39" s="3">
        <v>-3.35</v>
      </c>
    </row>
    <row r="40" spans="1:10" x14ac:dyDescent="0.25">
      <c r="A40" s="2">
        <v>44927</v>
      </c>
      <c r="B40">
        <v>2023</v>
      </c>
      <c r="C40" t="s">
        <v>10</v>
      </c>
      <c r="D40">
        <v>1</v>
      </c>
      <c r="E40" t="s">
        <v>26</v>
      </c>
      <c r="F40" t="s">
        <v>21</v>
      </c>
      <c r="G40" s="3">
        <v>511</v>
      </c>
      <c r="H40" s="3">
        <v>55.28</v>
      </c>
      <c r="I40" s="3">
        <v>28248.080000000002</v>
      </c>
      <c r="J40" s="3">
        <v>-13.19</v>
      </c>
    </row>
    <row r="41" spans="1:10" x14ac:dyDescent="0.25">
      <c r="A41" s="2">
        <v>44927</v>
      </c>
      <c r="B41">
        <v>2023</v>
      </c>
      <c r="C41" t="s">
        <v>10</v>
      </c>
      <c r="D41">
        <v>1</v>
      </c>
      <c r="E41" t="s">
        <v>26</v>
      </c>
      <c r="F41" t="s">
        <v>24</v>
      </c>
      <c r="G41" s="3">
        <v>437</v>
      </c>
      <c r="H41" s="3">
        <v>189.6</v>
      </c>
      <c r="I41" s="3">
        <v>82855.199999999997</v>
      </c>
      <c r="J41" s="3">
        <v>7.53</v>
      </c>
    </row>
    <row r="42" spans="1:10" x14ac:dyDescent="0.25">
      <c r="A42" s="2">
        <v>44927</v>
      </c>
      <c r="B42">
        <v>2023</v>
      </c>
      <c r="C42" t="s">
        <v>10</v>
      </c>
      <c r="D42">
        <v>1</v>
      </c>
      <c r="E42" t="s">
        <v>26</v>
      </c>
      <c r="F42" t="s">
        <v>14</v>
      </c>
      <c r="G42" s="3">
        <v>395</v>
      </c>
      <c r="H42" s="3">
        <v>37.58</v>
      </c>
      <c r="I42" s="3">
        <v>14844.1</v>
      </c>
      <c r="J42" s="3">
        <v>12.37</v>
      </c>
    </row>
    <row r="43" spans="1:10" x14ac:dyDescent="0.25">
      <c r="A43" s="2">
        <v>44927</v>
      </c>
      <c r="B43">
        <v>2023</v>
      </c>
      <c r="C43" t="s">
        <v>10</v>
      </c>
      <c r="D43">
        <v>1</v>
      </c>
      <c r="E43" t="s">
        <v>26</v>
      </c>
      <c r="F43" t="s">
        <v>15</v>
      </c>
      <c r="G43" s="3">
        <v>416</v>
      </c>
      <c r="H43" s="3">
        <v>142.99</v>
      </c>
      <c r="I43" s="3">
        <v>59483.839999999997</v>
      </c>
      <c r="J43" s="3">
        <v>9.4</v>
      </c>
    </row>
    <row r="44" spans="1:10" x14ac:dyDescent="0.25">
      <c r="A44" s="2">
        <v>44927</v>
      </c>
      <c r="B44">
        <v>2023</v>
      </c>
      <c r="C44" t="s">
        <v>10</v>
      </c>
      <c r="D44">
        <v>1</v>
      </c>
      <c r="E44" t="s">
        <v>26</v>
      </c>
      <c r="F44" t="s">
        <v>16</v>
      </c>
      <c r="G44" s="3">
        <v>84</v>
      </c>
      <c r="H44" s="3">
        <v>183.68</v>
      </c>
      <c r="I44" s="3">
        <v>15429.12</v>
      </c>
      <c r="J44" s="3">
        <v>-4.6500000000000004</v>
      </c>
    </row>
    <row r="45" spans="1:10" x14ac:dyDescent="0.25">
      <c r="A45" s="2">
        <v>44927</v>
      </c>
      <c r="B45">
        <v>2023</v>
      </c>
      <c r="C45" t="s">
        <v>10</v>
      </c>
      <c r="D45">
        <v>1</v>
      </c>
      <c r="E45" t="s">
        <v>26</v>
      </c>
      <c r="F45" t="s">
        <v>17</v>
      </c>
      <c r="G45" s="3">
        <v>437</v>
      </c>
      <c r="H45" s="3">
        <v>76.11</v>
      </c>
      <c r="I45" s="3">
        <v>33260.07</v>
      </c>
      <c r="J45" s="3">
        <v>5.8</v>
      </c>
    </row>
    <row r="46" spans="1:10" x14ac:dyDescent="0.25">
      <c r="A46" s="2">
        <v>44927</v>
      </c>
      <c r="B46">
        <v>2023</v>
      </c>
      <c r="C46" t="s">
        <v>10</v>
      </c>
      <c r="D46">
        <v>1</v>
      </c>
      <c r="E46" t="s">
        <v>26</v>
      </c>
      <c r="F46" t="s">
        <v>18</v>
      </c>
      <c r="G46" s="3">
        <v>155</v>
      </c>
      <c r="H46" s="3">
        <v>122.19</v>
      </c>
      <c r="I46" s="3">
        <v>18939.45</v>
      </c>
      <c r="J46" s="3">
        <v>-13.75</v>
      </c>
    </row>
    <row r="47" spans="1:10" x14ac:dyDescent="0.25">
      <c r="A47" s="2">
        <v>44927</v>
      </c>
      <c r="B47">
        <v>2023</v>
      </c>
      <c r="C47" t="s">
        <v>10</v>
      </c>
      <c r="D47">
        <v>1</v>
      </c>
      <c r="E47" t="s">
        <v>26</v>
      </c>
      <c r="F47" t="s">
        <v>19</v>
      </c>
      <c r="G47" s="3">
        <v>451</v>
      </c>
      <c r="H47" s="3">
        <v>159.52000000000001</v>
      </c>
      <c r="I47" s="3">
        <v>71943.520000000004</v>
      </c>
      <c r="J47" s="3">
        <v>22.58</v>
      </c>
    </row>
    <row r="48" spans="1:10" x14ac:dyDescent="0.25">
      <c r="A48" s="2">
        <v>44927</v>
      </c>
      <c r="B48">
        <v>2023</v>
      </c>
      <c r="C48" t="s">
        <v>10</v>
      </c>
      <c r="D48">
        <v>1</v>
      </c>
      <c r="E48" t="s">
        <v>26</v>
      </c>
      <c r="F48" t="s">
        <v>20</v>
      </c>
      <c r="G48" s="3">
        <v>319</v>
      </c>
      <c r="H48" s="3">
        <v>150.91</v>
      </c>
      <c r="I48" s="3">
        <v>48140.29</v>
      </c>
      <c r="J48" s="3">
        <v>-1.94</v>
      </c>
    </row>
    <row r="49" spans="1:10" x14ac:dyDescent="0.25">
      <c r="A49" s="2">
        <v>44927</v>
      </c>
      <c r="B49">
        <v>2023</v>
      </c>
      <c r="C49" t="s">
        <v>10</v>
      </c>
      <c r="D49">
        <v>1</v>
      </c>
      <c r="E49" t="s">
        <v>26</v>
      </c>
      <c r="F49" t="s">
        <v>12</v>
      </c>
      <c r="G49" s="3">
        <v>696</v>
      </c>
      <c r="H49" s="3">
        <v>50.69</v>
      </c>
      <c r="I49" s="3">
        <v>35280.239999999998</v>
      </c>
      <c r="J49" s="3">
        <v>-12.4</v>
      </c>
    </row>
    <row r="50" spans="1:10" x14ac:dyDescent="0.25">
      <c r="A50" s="2">
        <v>44957</v>
      </c>
      <c r="B50">
        <v>2023</v>
      </c>
      <c r="C50" t="s">
        <v>10</v>
      </c>
      <c r="D50">
        <v>1</v>
      </c>
      <c r="E50" t="s">
        <v>13</v>
      </c>
      <c r="F50" t="s">
        <v>22</v>
      </c>
      <c r="G50" s="3">
        <v>82</v>
      </c>
      <c r="H50" s="3">
        <v>117.66</v>
      </c>
      <c r="I50" s="3">
        <v>9648.1200000000008</v>
      </c>
      <c r="J50" s="3">
        <v>5.35</v>
      </c>
    </row>
    <row r="51" spans="1:10" x14ac:dyDescent="0.25">
      <c r="A51" s="2">
        <v>44957</v>
      </c>
      <c r="B51">
        <v>2023</v>
      </c>
      <c r="C51" t="s">
        <v>10</v>
      </c>
      <c r="D51">
        <v>1</v>
      </c>
      <c r="E51" t="s">
        <v>13</v>
      </c>
      <c r="F51" t="s">
        <v>21</v>
      </c>
      <c r="G51" s="3">
        <v>441</v>
      </c>
      <c r="H51" s="3">
        <v>172.86</v>
      </c>
      <c r="I51" s="3">
        <v>76231.259999999995</v>
      </c>
      <c r="J51" s="3">
        <v>11.3</v>
      </c>
    </row>
    <row r="52" spans="1:10" x14ac:dyDescent="0.25">
      <c r="A52" s="2">
        <v>44957</v>
      </c>
      <c r="B52">
        <v>2023</v>
      </c>
      <c r="C52" t="s">
        <v>10</v>
      </c>
      <c r="D52">
        <v>1</v>
      </c>
      <c r="E52" t="s">
        <v>13</v>
      </c>
      <c r="F52" t="s">
        <v>20</v>
      </c>
      <c r="G52" s="3">
        <v>447</v>
      </c>
      <c r="H52" s="3">
        <v>78.569999999999993</v>
      </c>
      <c r="I52" s="3">
        <v>35120.79</v>
      </c>
      <c r="J52" s="3">
        <v>14.86</v>
      </c>
    </row>
    <row r="53" spans="1:10" x14ac:dyDescent="0.25">
      <c r="A53" s="2">
        <v>44957</v>
      </c>
      <c r="B53">
        <v>2023</v>
      </c>
      <c r="C53" t="s">
        <v>10</v>
      </c>
      <c r="D53">
        <v>1</v>
      </c>
      <c r="E53" t="s">
        <v>13</v>
      </c>
      <c r="F53" t="s">
        <v>19</v>
      </c>
      <c r="G53" s="3">
        <v>730</v>
      </c>
      <c r="H53" s="3">
        <v>51.67</v>
      </c>
      <c r="I53" s="3">
        <v>37719.1</v>
      </c>
      <c r="J53" s="3">
        <v>-14.28</v>
      </c>
    </row>
    <row r="54" spans="1:10" x14ac:dyDescent="0.25">
      <c r="A54" s="2">
        <v>44957</v>
      </c>
      <c r="B54">
        <v>2023</v>
      </c>
      <c r="C54" t="s">
        <v>10</v>
      </c>
      <c r="D54">
        <v>1</v>
      </c>
      <c r="E54" t="s">
        <v>13</v>
      </c>
      <c r="F54" t="s">
        <v>14</v>
      </c>
      <c r="G54" s="3">
        <v>169</v>
      </c>
      <c r="H54" s="3">
        <v>179.8</v>
      </c>
      <c r="I54" s="3">
        <v>30386.2</v>
      </c>
      <c r="J54" s="3">
        <v>19.04</v>
      </c>
    </row>
    <row r="55" spans="1:10" x14ac:dyDescent="0.25">
      <c r="A55" s="2">
        <v>44957</v>
      </c>
      <c r="B55">
        <v>2023</v>
      </c>
      <c r="C55" t="s">
        <v>10</v>
      </c>
      <c r="D55">
        <v>1</v>
      </c>
      <c r="E55" t="s">
        <v>13</v>
      </c>
      <c r="F55" t="s">
        <v>17</v>
      </c>
      <c r="G55" s="3">
        <v>148</v>
      </c>
      <c r="H55" s="3">
        <v>195.26</v>
      </c>
      <c r="I55" s="3">
        <v>28898.48</v>
      </c>
      <c r="J55" s="3">
        <v>-3.64</v>
      </c>
    </row>
    <row r="56" spans="1:10" x14ac:dyDescent="0.25">
      <c r="A56" s="2">
        <v>44957</v>
      </c>
      <c r="B56">
        <v>2023</v>
      </c>
      <c r="C56" t="s">
        <v>10</v>
      </c>
      <c r="D56">
        <v>1</v>
      </c>
      <c r="E56" t="s">
        <v>13</v>
      </c>
      <c r="F56" t="s">
        <v>16</v>
      </c>
      <c r="G56" s="3">
        <v>303</v>
      </c>
      <c r="H56" s="3">
        <v>21.66</v>
      </c>
      <c r="I56" s="3">
        <v>6562.98</v>
      </c>
      <c r="J56" s="3">
        <v>-10.94</v>
      </c>
    </row>
    <row r="57" spans="1:10" x14ac:dyDescent="0.25">
      <c r="A57" s="2">
        <v>44957</v>
      </c>
      <c r="B57">
        <v>2023</v>
      </c>
      <c r="C57" t="s">
        <v>10</v>
      </c>
      <c r="D57">
        <v>1</v>
      </c>
      <c r="E57" t="s">
        <v>13</v>
      </c>
      <c r="F57" t="s">
        <v>15</v>
      </c>
      <c r="G57" s="3">
        <v>674</v>
      </c>
      <c r="H57" s="3">
        <v>49.09</v>
      </c>
      <c r="I57" s="3">
        <v>33086.660000000003</v>
      </c>
      <c r="J57" s="3">
        <v>20.94</v>
      </c>
    </row>
    <row r="58" spans="1:10" x14ac:dyDescent="0.25">
      <c r="A58" s="2">
        <v>44957</v>
      </c>
      <c r="B58">
        <v>2023</v>
      </c>
      <c r="C58" t="s">
        <v>10</v>
      </c>
      <c r="D58">
        <v>1</v>
      </c>
      <c r="E58" t="s">
        <v>13</v>
      </c>
      <c r="F58" t="s">
        <v>25</v>
      </c>
      <c r="G58" s="3">
        <v>519</v>
      </c>
      <c r="H58" s="3">
        <v>67.739999999999995</v>
      </c>
      <c r="I58" s="3">
        <v>35157.06</v>
      </c>
      <c r="J58" s="3">
        <v>-5.24</v>
      </c>
    </row>
    <row r="59" spans="1:10" x14ac:dyDescent="0.25">
      <c r="A59" s="2">
        <v>44957</v>
      </c>
      <c r="B59">
        <v>2023</v>
      </c>
      <c r="C59" t="s">
        <v>10</v>
      </c>
      <c r="D59">
        <v>1</v>
      </c>
      <c r="E59" t="s">
        <v>13</v>
      </c>
      <c r="F59" t="s">
        <v>18</v>
      </c>
      <c r="G59" s="3">
        <v>387</v>
      </c>
      <c r="H59" s="3">
        <v>107.41</v>
      </c>
      <c r="I59" s="3">
        <v>41567.67</v>
      </c>
      <c r="J59" s="3">
        <v>2.94</v>
      </c>
    </row>
    <row r="60" spans="1:10" x14ac:dyDescent="0.25">
      <c r="A60" s="2">
        <v>44957</v>
      </c>
      <c r="B60">
        <v>2023</v>
      </c>
      <c r="C60" t="s">
        <v>10</v>
      </c>
      <c r="D60">
        <v>1</v>
      </c>
      <c r="E60" t="s">
        <v>23</v>
      </c>
      <c r="F60" t="s">
        <v>12</v>
      </c>
      <c r="G60" s="3">
        <v>87</v>
      </c>
      <c r="H60" s="3">
        <v>196.2</v>
      </c>
      <c r="I60" s="3">
        <v>17069.400000000001</v>
      </c>
      <c r="J60" s="3">
        <v>4.47</v>
      </c>
    </row>
    <row r="61" spans="1:10" x14ac:dyDescent="0.25">
      <c r="A61" s="2">
        <v>44957</v>
      </c>
      <c r="B61">
        <v>2023</v>
      </c>
      <c r="C61" t="s">
        <v>10</v>
      </c>
      <c r="D61">
        <v>1</v>
      </c>
      <c r="E61" t="s">
        <v>23</v>
      </c>
      <c r="F61" t="s">
        <v>25</v>
      </c>
      <c r="G61" s="3">
        <v>784</v>
      </c>
      <c r="H61" s="3">
        <v>171.96</v>
      </c>
      <c r="I61" s="3">
        <v>134816.64000000001</v>
      </c>
      <c r="J61" s="3">
        <v>22.2</v>
      </c>
    </row>
    <row r="62" spans="1:10" x14ac:dyDescent="0.25">
      <c r="A62" s="2">
        <v>44957</v>
      </c>
      <c r="B62">
        <v>2023</v>
      </c>
      <c r="C62" t="s">
        <v>10</v>
      </c>
      <c r="D62">
        <v>1</v>
      </c>
      <c r="E62" t="s">
        <v>23</v>
      </c>
      <c r="F62" t="s">
        <v>14</v>
      </c>
      <c r="G62" s="3">
        <v>658</v>
      </c>
      <c r="H62" s="3">
        <v>123.84</v>
      </c>
      <c r="I62" s="3">
        <v>81486.720000000001</v>
      </c>
      <c r="J62" s="3">
        <v>4.7</v>
      </c>
    </row>
    <row r="63" spans="1:10" x14ac:dyDescent="0.25">
      <c r="A63" s="2">
        <v>44957</v>
      </c>
      <c r="B63">
        <v>2023</v>
      </c>
      <c r="C63" t="s">
        <v>10</v>
      </c>
      <c r="D63">
        <v>1</v>
      </c>
      <c r="E63" t="s">
        <v>23</v>
      </c>
      <c r="F63" t="s">
        <v>15</v>
      </c>
      <c r="G63" s="3">
        <v>502</v>
      </c>
      <c r="H63" s="3">
        <v>61.43</v>
      </c>
      <c r="I63" s="3">
        <v>30837.86</v>
      </c>
      <c r="J63" s="3">
        <v>4.97</v>
      </c>
    </row>
    <row r="64" spans="1:10" x14ac:dyDescent="0.25">
      <c r="A64" s="2">
        <v>44957</v>
      </c>
      <c r="B64">
        <v>2023</v>
      </c>
      <c r="C64" t="s">
        <v>10</v>
      </c>
      <c r="D64">
        <v>1</v>
      </c>
      <c r="E64" t="s">
        <v>23</v>
      </c>
      <c r="F64" t="s">
        <v>16</v>
      </c>
      <c r="G64" s="3">
        <v>565</v>
      </c>
      <c r="H64" s="3">
        <v>24.38</v>
      </c>
      <c r="I64" s="3">
        <v>13774.7</v>
      </c>
      <c r="J64" s="3">
        <v>10.82</v>
      </c>
    </row>
    <row r="65" spans="1:10" x14ac:dyDescent="0.25">
      <c r="A65" s="2">
        <v>44957</v>
      </c>
      <c r="B65">
        <v>2023</v>
      </c>
      <c r="C65" t="s">
        <v>10</v>
      </c>
      <c r="D65">
        <v>1</v>
      </c>
      <c r="E65" t="s">
        <v>23</v>
      </c>
      <c r="F65" t="s">
        <v>17</v>
      </c>
      <c r="G65" s="3">
        <v>66</v>
      </c>
      <c r="H65" s="3">
        <v>199.02</v>
      </c>
      <c r="I65" s="3">
        <v>13135.32</v>
      </c>
      <c r="J65" s="3">
        <v>3.8</v>
      </c>
    </row>
    <row r="66" spans="1:10" x14ac:dyDescent="0.25">
      <c r="A66" s="2">
        <v>44957</v>
      </c>
      <c r="B66">
        <v>2023</v>
      </c>
      <c r="C66" t="s">
        <v>10</v>
      </c>
      <c r="D66">
        <v>1</v>
      </c>
      <c r="E66" t="s">
        <v>23</v>
      </c>
      <c r="F66" t="s">
        <v>18</v>
      </c>
      <c r="G66" s="3">
        <v>95</v>
      </c>
      <c r="H66" s="3">
        <v>184.68</v>
      </c>
      <c r="I66" s="3">
        <v>17544.599999999999</v>
      </c>
      <c r="J66" s="3">
        <v>-0.19</v>
      </c>
    </row>
    <row r="67" spans="1:10" x14ac:dyDescent="0.25">
      <c r="A67" s="2">
        <v>44957</v>
      </c>
      <c r="B67">
        <v>2023</v>
      </c>
      <c r="C67" t="s">
        <v>10</v>
      </c>
      <c r="D67">
        <v>1</v>
      </c>
      <c r="E67" t="s">
        <v>23</v>
      </c>
      <c r="F67" t="s">
        <v>19</v>
      </c>
      <c r="G67" s="3">
        <v>794</v>
      </c>
      <c r="H67" s="3">
        <v>191.55</v>
      </c>
      <c r="I67" s="3">
        <v>152090.70000000001</v>
      </c>
      <c r="J67" s="3">
        <v>-1.77</v>
      </c>
    </row>
    <row r="68" spans="1:10" x14ac:dyDescent="0.25">
      <c r="A68" s="2">
        <v>44957</v>
      </c>
      <c r="B68">
        <v>2023</v>
      </c>
      <c r="C68" t="s">
        <v>10</v>
      </c>
      <c r="D68">
        <v>1</v>
      </c>
      <c r="E68" t="s">
        <v>23</v>
      </c>
      <c r="F68" t="s">
        <v>20</v>
      </c>
      <c r="G68" s="3">
        <v>351</v>
      </c>
      <c r="H68" s="3">
        <v>194</v>
      </c>
      <c r="I68" s="3">
        <v>68094</v>
      </c>
      <c r="J68" s="3">
        <v>23.54</v>
      </c>
    </row>
    <row r="69" spans="1:10" x14ac:dyDescent="0.25">
      <c r="A69" s="2">
        <v>44957</v>
      </c>
      <c r="B69">
        <v>2023</v>
      </c>
      <c r="C69" t="s">
        <v>10</v>
      </c>
      <c r="D69">
        <v>1</v>
      </c>
      <c r="E69" t="s">
        <v>23</v>
      </c>
      <c r="F69" t="s">
        <v>21</v>
      </c>
      <c r="G69" s="3">
        <v>165</v>
      </c>
      <c r="H69" s="3">
        <v>73</v>
      </c>
      <c r="I69" s="3">
        <v>12045</v>
      </c>
      <c r="J69" s="3">
        <v>0.4</v>
      </c>
    </row>
    <row r="70" spans="1:10" x14ac:dyDescent="0.25">
      <c r="A70" s="2">
        <v>44957</v>
      </c>
      <c r="B70">
        <v>2023</v>
      </c>
      <c r="C70" t="s">
        <v>10</v>
      </c>
      <c r="D70">
        <v>1</v>
      </c>
      <c r="E70" t="s">
        <v>23</v>
      </c>
      <c r="F70" t="s">
        <v>22</v>
      </c>
      <c r="G70" s="3">
        <v>210</v>
      </c>
      <c r="H70" s="3">
        <v>77.05</v>
      </c>
      <c r="I70" s="3">
        <v>16180.5</v>
      </c>
      <c r="J70" s="3">
        <v>-8.2200000000000006</v>
      </c>
    </row>
    <row r="71" spans="1:10" x14ac:dyDescent="0.25">
      <c r="A71" s="2">
        <v>44957</v>
      </c>
      <c r="B71">
        <v>2023</v>
      </c>
      <c r="C71" t="s">
        <v>10</v>
      </c>
      <c r="D71">
        <v>1</v>
      </c>
      <c r="E71" t="s">
        <v>13</v>
      </c>
      <c r="F71" t="s">
        <v>24</v>
      </c>
      <c r="G71" s="3">
        <v>257</v>
      </c>
      <c r="H71" s="3">
        <v>181.48</v>
      </c>
      <c r="I71" s="3">
        <v>46640.36</v>
      </c>
      <c r="J71" s="3">
        <v>20.48</v>
      </c>
    </row>
    <row r="72" spans="1:10" x14ac:dyDescent="0.25">
      <c r="A72" s="2">
        <v>44957</v>
      </c>
      <c r="B72">
        <v>2023</v>
      </c>
      <c r="C72" t="s">
        <v>10</v>
      </c>
      <c r="D72">
        <v>1</v>
      </c>
      <c r="E72" t="s">
        <v>23</v>
      </c>
      <c r="F72" t="s">
        <v>24</v>
      </c>
      <c r="G72" s="3">
        <v>332</v>
      </c>
      <c r="H72" s="3">
        <v>98.19</v>
      </c>
      <c r="I72" s="3">
        <v>32599.08</v>
      </c>
      <c r="J72" s="3">
        <v>-1</v>
      </c>
    </row>
    <row r="73" spans="1:10" x14ac:dyDescent="0.25">
      <c r="A73" s="2">
        <v>44957</v>
      </c>
      <c r="B73">
        <v>2023</v>
      </c>
      <c r="C73" t="s">
        <v>10</v>
      </c>
      <c r="D73">
        <v>1</v>
      </c>
      <c r="E73" t="s">
        <v>13</v>
      </c>
      <c r="F73" t="s">
        <v>12</v>
      </c>
      <c r="G73" s="3">
        <v>58</v>
      </c>
      <c r="H73" s="3">
        <v>70.2</v>
      </c>
      <c r="I73" s="3">
        <v>4071.6</v>
      </c>
      <c r="J73" s="3">
        <v>13.01</v>
      </c>
    </row>
    <row r="74" spans="1:10" x14ac:dyDescent="0.25">
      <c r="A74" s="2">
        <v>44957</v>
      </c>
      <c r="B74">
        <v>2023</v>
      </c>
      <c r="C74" t="s">
        <v>10</v>
      </c>
      <c r="D74">
        <v>1</v>
      </c>
      <c r="E74" t="s">
        <v>11</v>
      </c>
      <c r="F74" t="s">
        <v>25</v>
      </c>
      <c r="G74" s="3">
        <v>296</v>
      </c>
      <c r="H74" s="3">
        <v>140.97999999999999</v>
      </c>
      <c r="I74" s="3">
        <v>41730.080000000002</v>
      </c>
      <c r="J74" s="3">
        <v>15.46</v>
      </c>
    </row>
    <row r="75" spans="1:10" x14ac:dyDescent="0.25">
      <c r="A75" s="2">
        <v>44957</v>
      </c>
      <c r="B75">
        <v>2023</v>
      </c>
      <c r="C75" t="s">
        <v>10</v>
      </c>
      <c r="D75">
        <v>1</v>
      </c>
      <c r="E75" t="s">
        <v>26</v>
      </c>
      <c r="F75" t="s">
        <v>22</v>
      </c>
      <c r="G75" s="3">
        <v>51</v>
      </c>
      <c r="H75" s="3">
        <v>199.33</v>
      </c>
      <c r="I75" s="3">
        <v>10165.83</v>
      </c>
      <c r="J75" s="3">
        <v>23.62</v>
      </c>
    </row>
    <row r="76" spans="1:10" x14ac:dyDescent="0.25">
      <c r="A76" s="2">
        <v>44957</v>
      </c>
      <c r="B76">
        <v>2023</v>
      </c>
      <c r="C76" t="s">
        <v>10</v>
      </c>
      <c r="D76">
        <v>1</v>
      </c>
      <c r="E76" t="s">
        <v>26</v>
      </c>
      <c r="F76" t="s">
        <v>25</v>
      </c>
      <c r="G76" s="3">
        <v>502</v>
      </c>
      <c r="H76" s="3">
        <v>182.08</v>
      </c>
      <c r="I76" s="3">
        <v>91404.160000000003</v>
      </c>
      <c r="J76" s="3">
        <v>10.32</v>
      </c>
    </row>
    <row r="77" spans="1:10" x14ac:dyDescent="0.25">
      <c r="A77" s="2">
        <v>44957</v>
      </c>
      <c r="B77">
        <v>2023</v>
      </c>
      <c r="C77" t="s">
        <v>10</v>
      </c>
      <c r="D77">
        <v>1</v>
      </c>
      <c r="E77" t="s">
        <v>11</v>
      </c>
      <c r="F77" t="s">
        <v>12</v>
      </c>
      <c r="G77" s="3">
        <v>408</v>
      </c>
      <c r="H77" s="3">
        <v>49.64</v>
      </c>
      <c r="I77" s="3">
        <v>20253.12</v>
      </c>
      <c r="J77" s="3">
        <v>6.36</v>
      </c>
    </row>
    <row r="78" spans="1:10" x14ac:dyDescent="0.25">
      <c r="A78" s="2">
        <v>44957</v>
      </c>
      <c r="B78">
        <v>2023</v>
      </c>
      <c r="C78" t="s">
        <v>10</v>
      </c>
      <c r="D78">
        <v>1</v>
      </c>
      <c r="E78" t="s">
        <v>11</v>
      </c>
      <c r="F78" t="s">
        <v>24</v>
      </c>
      <c r="G78" s="3">
        <v>367</v>
      </c>
      <c r="H78" s="3">
        <v>59.98</v>
      </c>
      <c r="I78" s="3">
        <v>22012.66</v>
      </c>
      <c r="J78" s="3">
        <v>-10.210000000000001</v>
      </c>
    </row>
    <row r="79" spans="1:10" x14ac:dyDescent="0.25">
      <c r="A79" s="2">
        <v>44957</v>
      </c>
      <c r="B79">
        <v>2023</v>
      </c>
      <c r="C79" t="s">
        <v>10</v>
      </c>
      <c r="D79">
        <v>1</v>
      </c>
      <c r="E79" t="s">
        <v>11</v>
      </c>
      <c r="F79" t="s">
        <v>14</v>
      </c>
      <c r="G79" s="3">
        <v>733</v>
      </c>
      <c r="H79" s="3">
        <v>63.94</v>
      </c>
      <c r="I79" s="3">
        <v>46868.02</v>
      </c>
      <c r="J79" s="3">
        <v>-8.27</v>
      </c>
    </row>
    <row r="80" spans="1:10" x14ac:dyDescent="0.25">
      <c r="A80" s="2">
        <v>44957</v>
      </c>
      <c r="B80">
        <v>2023</v>
      </c>
      <c r="C80" t="s">
        <v>10</v>
      </c>
      <c r="D80">
        <v>1</v>
      </c>
      <c r="E80" t="s">
        <v>11</v>
      </c>
      <c r="F80" t="s">
        <v>15</v>
      </c>
      <c r="G80" s="3">
        <v>721</v>
      </c>
      <c r="H80" s="3">
        <v>113.38</v>
      </c>
      <c r="I80" s="3">
        <v>81746.98</v>
      </c>
      <c r="J80" s="3">
        <v>13.12</v>
      </c>
    </row>
    <row r="81" spans="1:10" x14ac:dyDescent="0.25">
      <c r="A81" s="2">
        <v>44957</v>
      </c>
      <c r="B81">
        <v>2023</v>
      </c>
      <c r="C81" t="s">
        <v>10</v>
      </c>
      <c r="D81">
        <v>1</v>
      </c>
      <c r="E81" t="s">
        <v>11</v>
      </c>
      <c r="F81" t="s">
        <v>16</v>
      </c>
      <c r="G81" s="3">
        <v>162</v>
      </c>
      <c r="H81" s="3">
        <v>31.68</v>
      </c>
      <c r="I81" s="3">
        <v>5132.16</v>
      </c>
      <c r="J81" s="3">
        <v>-4.84</v>
      </c>
    </row>
    <row r="82" spans="1:10" x14ac:dyDescent="0.25">
      <c r="A82" s="2">
        <v>44957</v>
      </c>
      <c r="B82">
        <v>2023</v>
      </c>
      <c r="C82" t="s">
        <v>10</v>
      </c>
      <c r="D82">
        <v>1</v>
      </c>
      <c r="E82" t="s">
        <v>11</v>
      </c>
      <c r="F82" t="s">
        <v>17</v>
      </c>
      <c r="G82" s="3">
        <v>317</v>
      </c>
      <c r="H82" s="3">
        <v>65.319999999999993</v>
      </c>
      <c r="I82" s="3">
        <v>20706.439999999999</v>
      </c>
      <c r="J82" s="3">
        <v>4.8899999999999997</v>
      </c>
    </row>
    <row r="83" spans="1:10" x14ac:dyDescent="0.25">
      <c r="A83" s="2">
        <v>44957</v>
      </c>
      <c r="B83">
        <v>2023</v>
      </c>
      <c r="C83" t="s">
        <v>10</v>
      </c>
      <c r="D83">
        <v>1</v>
      </c>
      <c r="E83" t="s">
        <v>11</v>
      </c>
      <c r="F83" t="s">
        <v>19</v>
      </c>
      <c r="G83" s="3">
        <v>748</v>
      </c>
      <c r="H83" s="3">
        <v>129.72</v>
      </c>
      <c r="I83" s="3">
        <v>97030.56</v>
      </c>
      <c r="J83" s="3">
        <v>5.1100000000000003</v>
      </c>
    </row>
    <row r="84" spans="1:10" x14ac:dyDescent="0.25">
      <c r="A84" s="2">
        <v>44957</v>
      </c>
      <c r="B84">
        <v>2023</v>
      </c>
      <c r="C84" t="s">
        <v>10</v>
      </c>
      <c r="D84">
        <v>1</v>
      </c>
      <c r="E84" t="s">
        <v>11</v>
      </c>
      <c r="F84" t="s">
        <v>20</v>
      </c>
      <c r="G84" s="3">
        <v>615</v>
      </c>
      <c r="H84" s="3">
        <v>25.95</v>
      </c>
      <c r="I84" s="3">
        <v>15959.25</v>
      </c>
      <c r="J84" s="3">
        <v>-1.2</v>
      </c>
    </row>
    <row r="85" spans="1:10" x14ac:dyDescent="0.25">
      <c r="A85" s="2">
        <v>44957</v>
      </c>
      <c r="B85">
        <v>2023</v>
      </c>
      <c r="C85" t="s">
        <v>10</v>
      </c>
      <c r="D85">
        <v>1</v>
      </c>
      <c r="E85" t="s">
        <v>11</v>
      </c>
      <c r="F85" t="s">
        <v>21</v>
      </c>
      <c r="G85" s="3">
        <v>434</v>
      </c>
      <c r="H85" s="3">
        <v>63.12</v>
      </c>
      <c r="I85" s="3">
        <v>27394.080000000002</v>
      </c>
      <c r="J85" s="3">
        <v>-9.1999999999999993</v>
      </c>
    </row>
    <row r="86" spans="1:10" x14ac:dyDescent="0.25">
      <c r="A86" s="2">
        <v>44957</v>
      </c>
      <c r="B86">
        <v>2023</v>
      </c>
      <c r="C86" t="s">
        <v>10</v>
      </c>
      <c r="D86">
        <v>1</v>
      </c>
      <c r="E86" t="s">
        <v>11</v>
      </c>
      <c r="F86" t="s">
        <v>22</v>
      </c>
      <c r="G86" s="3">
        <v>733</v>
      </c>
      <c r="H86" s="3">
        <v>100.6</v>
      </c>
      <c r="I86" s="3">
        <v>73739.8</v>
      </c>
      <c r="J86" s="3">
        <v>7.12</v>
      </c>
    </row>
    <row r="87" spans="1:10" x14ac:dyDescent="0.25">
      <c r="A87" s="2">
        <v>44957</v>
      </c>
      <c r="B87">
        <v>2023</v>
      </c>
      <c r="C87" t="s">
        <v>10</v>
      </c>
      <c r="D87">
        <v>1</v>
      </c>
      <c r="E87" t="s">
        <v>11</v>
      </c>
      <c r="F87" t="s">
        <v>18</v>
      </c>
      <c r="G87" s="3">
        <v>162</v>
      </c>
      <c r="H87" s="3">
        <v>46.66</v>
      </c>
      <c r="I87" s="3">
        <v>7558.92</v>
      </c>
      <c r="J87" s="3">
        <v>24.91</v>
      </c>
    </row>
    <row r="88" spans="1:10" x14ac:dyDescent="0.25">
      <c r="A88" s="2">
        <v>44957</v>
      </c>
      <c r="B88">
        <v>2023</v>
      </c>
      <c r="C88" t="s">
        <v>10</v>
      </c>
      <c r="D88">
        <v>1</v>
      </c>
      <c r="E88" t="s">
        <v>26</v>
      </c>
      <c r="F88" t="s">
        <v>12</v>
      </c>
      <c r="G88" s="3">
        <v>172</v>
      </c>
      <c r="H88" s="3">
        <v>63.59</v>
      </c>
      <c r="I88" s="3">
        <v>10937.48</v>
      </c>
      <c r="J88" s="3">
        <v>17.13</v>
      </c>
    </row>
    <row r="89" spans="1:10" x14ac:dyDescent="0.25">
      <c r="A89" s="2">
        <v>44957</v>
      </c>
      <c r="B89">
        <v>2023</v>
      </c>
      <c r="C89" t="s">
        <v>10</v>
      </c>
      <c r="D89">
        <v>1</v>
      </c>
      <c r="E89" t="s">
        <v>26</v>
      </c>
      <c r="F89" t="s">
        <v>20</v>
      </c>
      <c r="G89" s="3">
        <v>347</v>
      </c>
      <c r="H89" s="3">
        <v>66.430000000000007</v>
      </c>
      <c r="I89" s="3">
        <v>23051.21</v>
      </c>
      <c r="J89" s="3">
        <v>11.4</v>
      </c>
    </row>
    <row r="90" spans="1:10" x14ac:dyDescent="0.25">
      <c r="A90" s="2">
        <v>44957</v>
      </c>
      <c r="B90">
        <v>2023</v>
      </c>
      <c r="C90" t="s">
        <v>10</v>
      </c>
      <c r="D90">
        <v>1</v>
      </c>
      <c r="E90" t="s">
        <v>26</v>
      </c>
      <c r="F90" t="s">
        <v>19</v>
      </c>
      <c r="G90" s="3">
        <v>522</v>
      </c>
      <c r="H90" s="3">
        <v>57.63</v>
      </c>
      <c r="I90" s="3">
        <v>30082.86</v>
      </c>
      <c r="J90" s="3">
        <v>6.66</v>
      </c>
    </row>
    <row r="91" spans="1:10" x14ac:dyDescent="0.25">
      <c r="A91" s="2">
        <v>44957</v>
      </c>
      <c r="B91">
        <v>2023</v>
      </c>
      <c r="C91" t="s">
        <v>10</v>
      </c>
      <c r="D91">
        <v>1</v>
      </c>
      <c r="E91" t="s">
        <v>26</v>
      </c>
      <c r="F91" t="s">
        <v>18</v>
      </c>
      <c r="G91" s="3">
        <v>689</v>
      </c>
      <c r="H91" s="3">
        <v>113.2</v>
      </c>
      <c r="I91" s="3">
        <v>77994.8</v>
      </c>
      <c r="J91" s="3">
        <v>18.510000000000002</v>
      </c>
    </row>
    <row r="92" spans="1:10" x14ac:dyDescent="0.25">
      <c r="A92" s="2">
        <v>44957</v>
      </c>
      <c r="B92">
        <v>2023</v>
      </c>
      <c r="C92" t="s">
        <v>10</v>
      </c>
      <c r="D92">
        <v>1</v>
      </c>
      <c r="E92" t="s">
        <v>26</v>
      </c>
      <c r="F92" t="s">
        <v>17</v>
      </c>
      <c r="G92" s="3">
        <v>197</v>
      </c>
      <c r="H92" s="3">
        <v>136.13</v>
      </c>
      <c r="I92" s="3">
        <v>26817.61</v>
      </c>
      <c r="J92" s="3">
        <v>-8.0299999999999994</v>
      </c>
    </row>
    <row r="93" spans="1:10" x14ac:dyDescent="0.25">
      <c r="A93" s="2">
        <v>44957</v>
      </c>
      <c r="B93">
        <v>2023</v>
      </c>
      <c r="C93" t="s">
        <v>10</v>
      </c>
      <c r="D93">
        <v>1</v>
      </c>
      <c r="E93" t="s">
        <v>26</v>
      </c>
      <c r="F93" t="s">
        <v>21</v>
      </c>
      <c r="G93" s="3">
        <v>395</v>
      </c>
      <c r="H93" s="3">
        <v>196.79</v>
      </c>
      <c r="I93" s="3">
        <v>77732.05</v>
      </c>
      <c r="J93" s="3">
        <v>5.67</v>
      </c>
    </row>
    <row r="94" spans="1:10" x14ac:dyDescent="0.25">
      <c r="A94" s="2">
        <v>44957</v>
      </c>
      <c r="B94">
        <v>2023</v>
      </c>
      <c r="C94" t="s">
        <v>10</v>
      </c>
      <c r="D94">
        <v>1</v>
      </c>
      <c r="E94" t="s">
        <v>26</v>
      </c>
      <c r="F94" t="s">
        <v>15</v>
      </c>
      <c r="G94" s="3">
        <v>375</v>
      </c>
      <c r="H94" s="3">
        <v>145.25</v>
      </c>
      <c r="I94" s="3">
        <v>54468.75</v>
      </c>
      <c r="J94" s="3">
        <v>19.329999999999998</v>
      </c>
    </row>
    <row r="95" spans="1:10" x14ac:dyDescent="0.25">
      <c r="A95" s="2">
        <v>44957</v>
      </c>
      <c r="B95">
        <v>2023</v>
      </c>
      <c r="C95" t="s">
        <v>10</v>
      </c>
      <c r="D95">
        <v>1</v>
      </c>
      <c r="E95" t="s">
        <v>26</v>
      </c>
      <c r="F95" t="s">
        <v>14</v>
      </c>
      <c r="G95" s="3">
        <v>193</v>
      </c>
      <c r="H95" s="3">
        <v>170.35</v>
      </c>
      <c r="I95" s="3">
        <v>32877.550000000003</v>
      </c>
      <c r="J95" s="3">
        <v>-2.17</v>
      </c>
    </row>
    <row r="96" spans="1:10" x14ac:dyDescent="0.25">
      <c r="A96" s="2">
        <v>44957</v>
      </c>
      <c r="B96">
        <v>2023</v>
      </c>
      <c r="C96" t="s">
        <v>10</v>
      </c>
      <c r="D96">
        <v>1</v>
      </c>
      <c r="E96" t="s">
        <v>26</v>
      </c>
      <c r="F96" t="s">
        <v>24</v>
      </c>
      <c r="G96" s="3">
        <v>659</v>
      </c>
      <c r="H96" s="3">
        <v>134.04</v>
      </c>
      <c r="I96" s="3">
        <v>88332.36</v>
      </c>
      <c r="J96" s="3">
        <v>6.43</v>
      </c>
    </row>
    <row r="97" spans="1:10" x14ac:dyDescent="0.25">
      <c r="A97" s="2">
        <v>44957</v>
      </c>
      <c r="B97">
        <v>2023</v>
      </c>
      <c r="C97" t="s">
        <v>10</v>
      </c>
      <c r="D97">
        <v>1</v>
      </c>
      <c r="E97" t="s">
        <v>26</v>
      </c>
      <c r="F97" t="s">
        <v>16</v>
      </c>
      <c r="G97" s="3">
        <v>452</v>
      </c>
      <c r="H97" s="3">
        <v>148.01</v>
      </c>
      <c r="I97" s="3">
        <v>66900.52</v>
      </c>
      <c r="J97" s="3">
        <v>17.38</v>
      </c>
    </row>
    <row r="98" spans="1:10" x14ac:dyDescent="0.25">
      <c r="A98" s="2">
        <v>44987</v>
      </c>
      <c r="B98">
        <v>2023</v>
      </c>
      <c r="C98" t="s">
        <v>27</v>
      </c>
      <c r="D98">
        <v>3</v>
      </c>
      <c r="E98" t="s">
        <v>13</v>
      </c>
      <c r="F98" t="s">
        <v>25</v>
      </c>
      <c r="G98" s="3">
        <v>374</v>
      </c>
      <c r="H98" s="3">
        <v>143.11000000000001</v>
      </c>
      <c r="I98" s="3">
        <v>53523.14</v>
      </c>
      <c r="J98" s="3">
        <v>9.6300000000000008</v>
      </c>
    </row>
    <row r="99" spans="1:10" x14ac:dyDescent="0.25">
      <c r="A99" s="2">
        <v>44987</v>
      </c>
      <c r="B99">
        <v>2023</v>
      </c>
      <c r="C99" t="s">
        <v>27</v>
      </c>
      <c r="D99">
        <v>3</v>
      </c>
      <c r="E99" t="s">
        <v>13</v>
      </c>
      <c r="F99" t="s">
        <v>14</v>
      </c>
      <c r="G99" s="3">
        <v>296</v>
      </c>
      <c r="H99" s="3">
        <v>28.59</v>
      </c>
      <c r="I99" s="3">
        <v>8462.64</v>
      </c>
      <c r="J99" s="3">
        <v>7.64</v>
      </c>
    </row>
    <row r="100" spans="1:10" x14ac:dyDescent="0.25">
      <c r="A100" s="2">
        <v>44987</v>
      </c>
      <c r="B100">
        <v>2023</v>
      </c>
      <c r="C100" t="s">
        <v>27</v>
      </c>
      <c r="D100">
        <v>3</v>
      </c>
      <c r="E100" t="s">
        <v>13</v>
      </c>
      <c r="F100" t="s">
        <v>15</v>
      </c>
      <c r="G100" s="3">
        <v>484</v>
      </c>
      <c r="H100" s="3">
        <v>156.41</v>
      </c>
      <c r="I100" s="3">
        <v>75702.44</v>
      </c>
      <c r="J100" s="3">
        <v>-14.42</v>
      </c>
    </row>
    <row r="101" spans="1:10" x14ac:dyDescent="0.25">
      <c r="A101" s="2">
        <v>44987</v>
      </c>
      <c r="B101">
        <v>2023</v>
      </c>
      <c r="C101" t="s">
        <v>27</v>
      </c>
      <c r="D101">
        <v>3</v>
      </c>
      <c r="E101" t="s">
        <v>13</v>
      </c>
      <c r="F101" t="s">
        <v>16</v>
      </c>
      <c r="G101" s="3">
        <v>269</v>
      </c>
      <c r="H101" s="3">
        <v>28.28</v>
      </c>
      <c r="I101" s="3">
        <v>7607.32</v>
      </c>
      <c r="J101" s="3">
        <v>-13.37</v>
      </c>
    </row>
    <row r="102" spans="1:10" x14ac:dyDescent="0.25">
      <c r="A102" s="2">
        <v>44987</v>
      </c>
      <c r="B102">
        <v>2023</v>
      </c>
      <c r="C102" t="s">
        <v>27</v>
      </c>
      <c r="D102">
        <v>3</v>
      </c>
      <c r="E102" t="s">
        <v>13</v>
      </c>
      <c r="F102" t="s">
        <v>17</v>
      </c>
      <c r="G102" s="3">
        <v>799</v>
      </c>
      <c r="H102" s="3">
        <v>196.31</v>
      </c>
      <c r="I102" s="3">
        <v>156851.69</v>
      </c>
      <c r="J102" s="3">
        <v>-7.99</v>
      </c>
    </row>
    <row r="103" spans="1:10" x14ac:dyDescent="0.25">
      <c r="A103" s="2">
        <v>44987</v>
      </c>
      <c r="B103">
        <v>2023</v>
      </c>
      <c r="C103" t="s">
        <v>27</v>
      </c>
      <c r="D103">
        <v>3</v>
      </c>
      <c r="E103" t="s">
        <v>13</v>
      </c>
      <c r="F103" t="s">
        <v>18</v>
      </c>
      <c r="G103" s="3">
        <v>267</v>
      </c>
      <c r="H103" s="3">
        <v>157.41</v>
      </c>
      <c r="I103" s="3">
        <v>42028.47</v>
      </c>
      <c r="J103" s="3">
        <v>17.28</v>
      </c>
    </row>
    <row r="104" spans="1:10" x14ac:dyDescent="0.25">
      <c r="A104" s="2">
        <v>44987</v>
      </c>
      <c r="B104">
        <v>2023</v>
      </c>
      <c r="C104" t="s">
        <v>27</v>
      </c>
      <c r="D104">
        <v>3</v>
      </c>
      <c r="E104" t="s">
        <v>13</v>
      </c>
      <c r="F104" t="s">
        <v>19</v>
      </c>
      <c r="G104" s="3">
        <v>661</v>
      </c>
      <c r="H104" s="3">
        <v>51.18</v>
      </c>
      <c r="I104" s="3">
        <v>33829.980000000003</v>
      </c>
      <c r="J104" s="3">
        <v>2.35</v>
      </c>
    </row>
    <row r="105" spans="1:10" x14ac:dyDescent="0.25">
      <c r="A105" s="2">
        <v>44987</v>
      </c>
      <c r="B105">
        <v>2023</v>
      </c>
      <c r="C105" t="s">
        <v>27</v>
      </c>
      <c r="D105">
        <v>3</v>
      </c>
      <c r="E105" t="s">
        <v>13</v>
      </c>
      <c r="F105" t="s">
        <v>20</v>
      </c>
      <c r="G105" s="3">
        <v>72</v>
      </c>
      <c r="H105" s="3">
        <v>28.65</v>
      </c>
      <c r="I105" s="3">
        <v>2062.8000000000002</v>
      </c>
      <c r="J105" s="3">
        <v>22.97</v>
      </c>
    </row>
    <row r="106" spans="1:10" x14ac:dyDescent="0.25">
      <c r="A106" s="2">
        <v>44987</v>
      </c>
      <c r="B106">
        <v>2023</v>
      </c>
      <c r="C106" t="s">
        <v>27</v>
      </c>
      <c r="D106">
        <v>3</v>
      </c>
      <c r="E106" t="s">
        <v>13</v>
      </c>
      <c r="F106" t="s">
        <v>21</v>
      </c>
      <c r="G106" s="3">
        <v>149</v>
      </c>
      <c r="H106" s="3">
        <v>28.15</v>
      </c>
      <c r="I106" s="3">
        <v>4194.3500000000004</v>
      </c>
      <c r="J106" s="3">
        <v>-0.02</v>
      </c>
    </row>
    <row r="107" spans="1:10" x14ac:dyDescent="0.25">
      <c r="A107" s="2">
        <v>44987</v>
      </c>
      <c r="B107">
        <v>2023</v>
      </c>
      <c r="C107" t="s">
        <v>27</v>
      </c>
      <c r="D107">
        <v>3</v>
      </c>
      <c r="E107" t="s">
        <v>13</v>
      </c>
      <c r="F107" t="s">
        <v>22</v>
      </c>
      <c r="G107" s="3">
        <v>708</v>
      </c>
      <c r="H107" s="3">
        <v>110.56</v>
      </c>
      <c r="I107" s="3">
        <v>78276.479999999996</v>
      </c>
      <c r="J107" s="3">
        <v>19.260000000000002</v>
      </c>
    </row>
    <row r="108" spans="1:10" x14ac:dyDescent="0.25">
      <c r="A108" s="2">
        <v>44987</v>
      </c>
      <c r="B108">
        <v>2023</v>
      </c>
      <c r="C108" t="s">
        <v>27</v>
      </c>
      <c r="D108">
        <v>3</v>
      </c>
      <c r="E108" t="s">
        <v>23</v>
      </c>
      <c r="F108" t="s">
        <v>12</v>
      </c>
      <c r="G108" s="3">
        <v>385</v>
      </c>
      <c r="H108" s="3">
        <v>135.63999999999999</v>
      </c>
      <c r="I108" s="3">
        <v>52221.4</v>
      </c>
      <c r="J108" s="3">
        <v>-13.94</v>
      </c>
    </row>
    <row r="109" spans="1:10" x14ac:dyDescent="0.25">
      <c r="A109" s="2">
        <v>44987</v>
      </c>
      <c r="B109">
        <v>2023</v>
      </c>
      <c r="C109" t="s">
        <v>27</v>
      </c>
      <c r="D109">
        <v>3</v>
      </c>
      <c r="E109" t="s">
        <v>23</v>
      </c>
      <c r="F109" t="s">
        <v>25</v>
      </c>
      <c r="G109" s="3">
        <v>425</v>
      </c>
      <c r="H109" s="3">
        <v>152.31</v>
      </c>
      <c r="I109" s="3">
        <v>64731.75</v>
      </c>
      <c r="J109" s="3">
        <v>17.14</v>
      </c>
    </row>
    <row r="110" spans="1:10" x14ac:dyDescent="0.25">
      <c r="A110" s="2">
        <v>44987</v>
      </c>
      <c r="B110">
        <v>2023</v>
      </c>
      <c r="C110" t="s">
        <v>27</v>
      </c>
      <c r="D110">
        <v>3</v>
      </c>
      <c r="E110" t="s">
        <v>23</v>
      </c>
      <c r="F110" t="s">
        <v>14</v>
      </c>
      <c r="G110" s="3">
        <v>739</v>
      </c>
      <c r="H110" s="3">
        <v>123.21</v>
      </c>
      <c r="I110" s="3">
        <v>91052.19</v>
      </c>
      <c r="J110" s="3">
        <v>-9.86</v>
      </c>
    </row>
    <row r="111" spans="1:10" x14ac:dyDescent="0.25">
      <c r="A111" s="2">
        <v>44987</v>
      </c>
      <c r="B111">
        <v>2023</v>
      </c>
      <c r="C111" t="s">
        <v>27</v>
      </c>
      <c r="D111">
        <v>3</v>
      </c>
      <c r="E111" t="s">
        <v>23</v>
      </c>
      <c r="F111" t="s">
        <v>15</v>
      </c>
      <c r="G111" s="3">
        <v>740</v>
      </c>
      <c r="H111" s="3">
        <v>167.72</v>
      </c>
      <c r="I111" s="3">
        <v>124112.8</v>
      </c>
      <c r="J111" s="3">
        <v>10.039999999999999</v>
      </c>
    </row>
    <row r="112" spans="1:10" x14ac:dyDescent="0.25">
      <c r="A112" s="2">
        <v>44987</v>
      </c>
      <c r="B112">
        <v>2023</v>
      </c>
      <c r="C112" t="s">
        <v>27</v>
      </c>
      <c r="D112">
        <v>3</v>
      </c>
      <c r="E112" t="s">
        <v>23</v>
      </c>
      <c r="F112" t="s">
        <v>16</v>
      </c>
      <c r="G112" s="3">
        <v>626</v>
      </c>
      <c r="H112" s="3">
        <v>193.01</v>
      </c>
      <c r="I112" s="3">
        <v>120824.26</v>
      </c>
      <c r="J112" s="3">
        <v>21.21</v>
      </c>
    </row>
    <row r="113" spans="1:10" x14ac:dyDescent="0.25">
      <c r="A113" s="2">
        <v>44987</v>
      </c>
      <c r="B113">
        <v>2023</v>
      </c>
      <c r="C113" t="s">
        <v>27</v>
      </c>
      <c r="D113">
        <v>3</v>
      </c>
      <c r="E113" t="s">
        <v>23</v>
      </c>
      <c r="F113" t="s">
        <v>17</v>
      </c>
      <c r="G113" s="3">
        <v>605</v>
      </c>
      <c r="H113" s="3">
        <v>69.31</v>
      </c>
      <c r="I113" s="3">
        <v>41932.550000000003</v>
      </c>
      <c r="J113" s="3">
        <v>-6.42</v>
      </c>
    </row>
    <row r="114" spans="1:10" x14ac:dyDescent="0.25">
      <c r="A114" s="2">
        <v>44987</v>
      </c>
      <c r="B114">
        <v>2023</v>
      </c>
      <c r="C114" t="s">
        <v>27</v>
      </c>
      <c r="D114">
        <v>3</v>
      </c>
      <c r="E114" t="s">
        <v>23</v>
      </c>
      <c r="F114" t="s">
        <v>18</v>
      </c>
      <c r="G114" s="3">
        <v>351</v>
      </c>
      <c r="H114" s="3">
        <v>23.28</v>
      </c>
      <c r="I114" s="3">
        <v>8171.28</v>
      </c>
      <c r="J114" s="3">
        <v>-11.22</v>
      </c>
    </row>
    <row r="115" spans="1:10" x14ac:dyDescent="0.25">
      <c r="A115" s="2">
        <v>44987</v>
      </c>
      <c r="B115">
        <v>2023</v>
      </c>
      <c r="C115" t="s">
        <v>27</v>
      </c>
      <c r="D115">
        <v>3</v>
      </c>
      <c r="E115" t="s">
        <v>23</v>
      </c>
      <c r="F115" t="s">
        <v>19</v>
      </c>
      <c r="G115" s="3">
        <v>84</v>
      </c>
      <c r="H115" s="3">
        <v>80.58</v>
      </c>
      <c r="I115" s="3">
        <v>6768.72</v>
      </c>
      <c r="J115" s="3">
        <v>11.23</v>
      </c>
    </row>
    <row r="116" spans="1:10" x14ac:dyDescent="0.25">
      <c r="A116" s="2">
        <v>44987</v>
      </c>
      <c r="B116">
        <v>2023</v>
      </c>
      <c r="C116" t="s">
        <v>27</v>
      </c>
      <c r="D116">
        <v>3</v>
      </c>
      <c r="E116" t="s">
        <v>23</v>
      </c>
      <c r="F116" t="s">
        <v>20</v>
      </c>
      <c r="G116" s="3">
        <v>654</v>
      </c>
      <c r="H116" s="3">
        <v>172.08</v>
      </c>
      <c r="I116" s="3">
        <v>112540.32</v>
      </c>
      <c r="J116" s="3">
        <v>-14.07</v>
      </c>
    </row>
    <row r="117" spans="1:10" x14ac:dyDescent="0.25">
      <c r="A117" s="2">
        <v>44987</v>
      </c>
      <c r="B117">
        <v>2023</v>
      </c>
      <c r="C117" t="s">
        <v>27</v>
      </c>
      <c r="D117">
        <v>3</v>
      </c>
      <c r="E117" t="s">
        <v>23</v>
      </c>
      <c r="F117" t="s">
        <v>21</v>
      </c>
      <c r="G117" s="3">
        <v>467</v>
      </c>
      <c r="H117" s="3">
        <v>66.930000000000007</v>
      </c>
      <c r="I117" s="3">
        <v>31256.31</v>
      </c>
      <c r="J117" s="3">
        <v>4.84</v>
      </c>
    </row>
    <row r="118" spans="1:10" x14ac:dyDescent="0.25">
      <c r="A118" s="2">
        <v>44987</v>
      </c>
      <c r="B118">
        <v>2023</v>
      </c>
      <c r="C118" t="s">
        <v>27</v>
      </c>
      <c r="D118">
        <v>3</v>
      </c>
      <c r="E118" t="s">
        <v>23</v>
      </c>
      <c r="F118" t="s">
        <v>22</v>
      </c>
      <c r="G118" s="3">
        <v>550</v>
      </c>
      <c r="H118" s="3">
        <v>82.7</v>
      </c>
      <c r="I118" s="3">
        <v>45485</v>
      </c>
      <c r="J118" s="3">
        <v>22.47</v>
      </c>
    </row>
    <row r="119" spans="1:10" x14ac:dyDescent="0.25">
      <c r="A119" s="2">
        <v>44987</v>
      </c>
      <c r="B119">
        <v>2023</v>
      </c>
      <c r="C119" t="s">
        <v>27</v>
      </c>
      <c r="D119">
        <v>3</v>
      </c>
      <c r="E119" t="s">
        <v>13</v>
      </c>
      <c r="F119" t="s">
        <v>24</v>
      </c>
      <c r="G119" s="3">
        <v>753</v>
      </c>
      <c r="H119" s="3">
        <v>119.78</v>
      </c>
      <c r="I119" s="3">
        <v>90194.34</v>
      </c>
      <c r="J119" s="3">
        <v>9.4700000000000006</v>
      </c>
    </row>
    <row r="120" spans="1:10" x14ac:dyDescent="0.25">
      <c r="A120" s="2">
        <v>44987</v>
      </c>
      <c r="B120">
        <v>2023</v>
      </c>
      <c r="C120" t="s">
        <v>27</v>
      </c>
      <c r="D120">
        <v>3</v>
      </c>
      <c r="E120" t="s">
        <v>23</v>
      </c>
      <c r="F120" t="s">
        <v>24</v>
      </c>
      <c r="G120" s="3">
        <v>209</v>
      </c>
      <c r="H120" s="3">
        <v>189.24</v>
      </c>
      <c r="I120" s="3">
        <v>39551.160000000003</v>
      </c>
      <c r="J120" s="3">
        <v>8.02</v>
      </c>
    </row>
    <row r="121" spans="1:10" x14ac:dyDescent="0.25">
      <c r="A121" s="2">
        <v>44987</v>
      </c>
      <c r="B121">
        <v>2023</v>
      </c>
      <c r="C121" t="s">
        <v>27</v>
      </c>
      <c r="D121">
        <v>3</v>
      </c>
      <c r="E121" t="s">
        <v>13</v>
      </c>
      <c r="F121" t="s">
        <v>12</v>
      </c>
      <c r="G121" s="3">
        <v>286</v>
      </c>
      <c r="H121" s="3">
        <v>70.39</v>
      </c>
      <c r="I121" s="3">
        <v>20131.54</v>
      </c>
      <c r="J121" s="3">
        <v>23.19</v>
      </c>
    </row>
    <row r="122" spans="1:10" x14ac:dyDescent="0.25">
      <c r="A122" s="2">
        <v>44987</v>
      </c>
      <c r="B122">
        <v>2023</v>
      </c>
      <c r="C122" t="s">
        <v>27</v>
      </c>
      <c r="D122">
        <v>3</v>
      </c>
      <c r="E122" t="s">
        <v>11</v>
      </c>
      <c r="F122" t="s">
        <v>25</v>
      </c>
      <c r="G122" s="3">
        <v>363</v>
      </c>
      <c r="H122" s="3">
        <v>174.87</v>
      </c>
      <c r="I122" s="3">
        <v>63477.81</v>
      </c>
      <c r="J122" s="3">
        <v>-4.99</v>
      </c>
    </row>
    <row r="123" spans="1:10" x14ac:dyDescent="0.25">
      <c r="A123" s="2">
        <v>44987</v>
      </c>
      <c r="B123">
        <v>2023</v>
      </c>
      <c r="C123" t="s">
        <v>27</v>
      </c>
      <c r="D123">
        <v>3</v>
      </c>
      <c r="E123" t="s">
        <v>26</v>
      </c>
      <c r="F123" t="s">
        <v>22</v>
      </c>
      <c r="G123" s="3">
        <v>683</v>
      </c>
      <c r="H123" s="3">
        <v>48.16</v>
      </c>
      <c r="I123" s="3">
        <v>32893.279999999999</v>
      </c>
      <c r="J123" s="3">
        <v>-4.99</v>
      </c>
    </row>
    <row r="124" spans="1:10" x14ac:dyDescent="0.25">
      <c r="A124" s="2">
        <v>44987</v>
      </c>
      <c r="B124">
        <v>2023</v>
      </c>
      <c r="C124" t="s">
        <v>27</v>
      </c>
      <c r="D124">
        <v>3</v>
      </c>
      <c r="E124" t="s">
        <v>11</v>
      </c>
      <c r="F124" t="s">
        <v>24</v>
      </c>
      <c r="G124" s="3">
        <v>712</v>
      </c>
      <c r="H124" s="3">
        <v>45.22</v>
      </c>
      <c r="I124" s="3">
        <v>32196.639999999999</v>
      </c>
      <c r="J124" s="3">
        <v>5.73</v>
      </c>
    </row>
    <row r="125" spans="1:10" x14ac:dyDescent="0.25">
      <c r="A125" s="2">
        <v>44987</v>
      </c>
      <c r="B125">
        <v>2023</v>
      </c>
      <c r="C125" t="s">
        <v>27</v>
      </c>
      <c r="D125">
        <v>3</v>
      </c>
      <c r="E125" t="s">
        <v>11</v>
      </c>
      <c r="F125" t="s">
        <v>14</v>
      </c>
      <c r="G125" s="3">
        <v>435</v>
      </c>
      <c r="H125" s="3">
        <v>78.06</v>
      </c>
      <c r="I125" s="3">
        <v>33956.1</v>
      </c>
      <c r="J125" s="3">
        <v>18.95</v>
      </c>
    </row>
    <row r="126" spans="1:10" x14ac:dyDescent="0.25">
      <c r="A126" s="2">
        <v>44987</v>
      </c>
      <c r="B126">
        <v>2023</v>
      </c>
      <c r="C126" t="s">
        <v>27</v>
      </c>
      <c r="D126">
        <v>3</v>
      </c>
      <c r="E126" t="s">
        <v>11</v>
      </c>
      <c r="F126" t="s">
        <v>15</v>
      </c>
      <c r="G126" s="3">
        <v>442</v>
      </c>
      <c r="H126" s="3">
        <v>146.44999999999999</v>
      </c>
      <c r="I126" s="3">
        <v>64730.9</v>
      </c>
      <c r="J126" s="3">
        <v>-0.62</v>
      </c>
    </row>
    <row r="127" spans="1:10" x14ac:dyDescent="0.25">
      <c r="A127" s="2">
        <v>44987</v>
      </c>
      <c r="B127">
        <v>2023</v>
      </c>
      <c r="C127" t="s">
        <v>27</v>
      </c>
      <c r="D127">
        <v>3</v>
      </c>
      <c r="E127" t="s">
        <v>11</v>
      </c>
      <c r="F127" t="s">
        <v>16</v>
      </c>
      <c r="G127" s="3">
        <v>526</v>
      </c>
      <c r="H127" s="3">
        <v>73.37</v>
      </c>
      <c r="I127" s="3">
        <v>38592.620000000003</v>
      </c>
      <c r="J127" s="3">
        <v>1.79</v>
      </c>
    </row>
    <row r="128" spans="1:10" x14ac:dyDescent="0.25">
      <c r="A128" s="2">
        <v>44987</v>
      </c>
      <c r="B128">
        <v>2023</v>
      </c>
      <c r="C128" t="s">
        <v>27</v>
      </c>
      <c r="D128">
        <v>3</v>
      </c>
      <c r="E128" t="s">
        <v>11</v>
      </c>
      <c r="F128" t="s">
        <v>17</v>
      </c>
      <c r="G128" s="3">
        <v>457</v>
      </c>
      <c r="H128" s="3">
        <v>184.38</v>
      </c>
      <c r="I128" s="3">
        <v>84261.66</v>
      </c>
      <c r="J128" s="3">
        <v>5.45</v>
      </c>
    </row>
    <row r="129" spans="1:10" x14ac:dyDescent="0.25">
      <c r="A129" s="2">
        <v>44987</v>
      </c>
      <c r="B129">
        <v>2023</v>
      </c>
      <c r="C129" t="s">
        <v>27</v>
      </c>
      <c r="D129">
        <v>3</v>
      </c>
      <c r="E129" t="s">
        <v>11</v>
      </c>
      <c r="F129" t="s">
        <v>18</v>
      </c>
      <c r="G129" s="3">
        <v>85</v>
      </c>
      <c r="H129" s="3">
        <v>163.69</v>
      </c>
      <c r="I129" s="3">
        <v>13913.65</v>
      </c>
      <c r="J129" s="3">
        <v>11</v>
      </c>
    </row>
    <row r="130" spans="1:10" x14ac:dyDescent="0.25">
      <c r="A130" s="2">
        <v>44987</v>
      </c>
      <c r="B130">
        <v>2023</v>
      </c>
      <c r="C130" t="s">
        <v>27</v>
      </c>
      <c r="D130">
        <v>3</v>
      </c>
      <c r="E130" t="s">
        <v>11</v>
      </c>
      <c r="F130" t="s">
        <v>19</v>
      </c>
      <c r="G130" s="3">
        <v>561</v>
      </c>
      <c r="H130" s="3">
        <v>91.42</v>
      </c>
      <c r="I130" s="3">
        <v>51286.62</v>
      </c>
      <c r="J130" s="3">
        <v>-12.97</v>
      </c>
    </row>
    <row r="131" spans="1:10" x14ac:dyDescent="0.25">
      <c r="A131" s="2">
        <v>44987</v>
      </c>
      <c r="B131">
        <v>2023</v>
      </c>
      <c r="C131" t="s">
        <v>27</v>
      </c>
      <c r="D131">
        <v>3</v>
      </c>
      <c r="E131" t="s">
        <v>11</v>
      </c>
      <c r="F131" t="s">
        <v>20</v>
      </c>
      <c r="G131" s="3">
        <v>520</v>
      </c>
      <c r="H131" s="3">
        <v>24.97</v>
      </c>
      <c r="I131" s="3">
        <v>12984.4</v>
      </c>
      <c r="J131" s="3">
        <v>8.15</v>
      </c>
    </row>
    <row r="132" spans="1:10" x14ac:dyDescent="0.25">
      <c r="A132" s="2">
        <v>44987</v>
      </c>
      <c r="B132">
        <v>2023</v>
      </c>
      <c r="C132" t="s">
        <v>27</v>
      </c>
      <c r="D132">
        <v>3</v>
      </c>
      <c r="E132" t="s">
        <v>11</v>
      </c>
      <c r="F132" t="s">
        <v>21</v>
      </c>
      <c r="G132" s="3">
        <v>776</v>
      </c>
      <c r="H132" s="3">
        <v>140.96</v>
      </c>
      <c r="I132" s="3">
        <v>109384.96000000001</v>
      </c>
      <c r="J132" s="3">
        <v>-1.87</v>
      </c>
    </row>
    <row r="133" spans="1:10" x14ac:dyDescent="0.25">
      <c r="A133" s="2">
        <v>44987</v>
      </c>
      <c r="B133">
        <v>2023</v>
      </c>
      <c r="C133" t="s">
        <v>27</v>
      </c>
      <c r="D133">
        <v>3</v>
      </c>
      <c r="E133" t="s">
        <v>11</v>
      </c>
      <c r="F133" t="s">
        <v>22</v>
      </c>
      <c r="G133" s="3">
        <v>747</v>
      </c>
      <c r="H133" s="3">
        <v>117.68</v>
      </c>
      <c r="I133" s="3">
        <v>87906.96</v>
      </c>
      <c r="J133" s="3">
        <v>-3.54</v>
      </c>
    </row>
    <row r="134" spans="1:10" x14ac:dyDescent="0.25">
      <c r="A134" s="2">
        <v>44987</v>
      </c>
      <c r="B134">
        <v>2023</v>
      </c>
      <c r="C134" t="s">
        <v>27</v>
      </c>
      <c r="D134">
        <v>3</v>
      </c>
      <c r="E134" t="s">
        <v>11</v>
      </c>
      <c r="F134" t="s">
        <v>12</v>
      </c>
      <c r="G134" s="3">
        <v>735</v>
      </c>
      <c r="H134" s="3">
        <v>37.49</v>
      </c>
      <c r="I134" s="3">
        <v>27555.15</v>
      </c>
      <c r="J134" s="3">
        <v>9.6</v>
      </c>
    </row>
    <row r="135" spans="1:10" x14ac:dyDescent="0.25">
      <c r="A135" s="2">
        <v>44987</v>
      </c>
      <c r="B135">
        <v>2023</v>
      </c>
      <c r="C135" t="s">
        <v>27</v>
      </c>
      <c r="D135">
        <v>3</v>
      </c>
      <c r="E135" t="s">
        <v>26</v>
      </c>
      <c r="F135" t="s">
        <v>12</v>
      </c>
      <c r="G135" s="3">
        <v>731</v>
      </c>
      <c r="H135" s="3">
        <v>168.07</v>
      </c>
      <c r="I135" s="3">
        <v>122859.17</v>
      </c>
      <c r="J135" s="3">
        <v>-0.59</v>
      </c>
    </row>
    <row r="136" spans="1:10" x14ac:dyDescent="0.25">
      <c r="A136" s="2">
        <v>44987</v>
      </c>
      <c r="B136">
        <v>2023</v>
      </c>
      <c r="C136" t="s">
        <v>27</v>
      </c>
      <c r="D136">
        <v>3</v>
      </c>
      <c r="E136" t="s">
        <v>26</v>
      </c>
      <c r="F136" t="s">
        <v>21</v>
      </c>
      <c r="G136" s="3">
        <v>442</v>
      </c>
      <c r="H136" s="3">
        <v>143.93</v>
      </c>
      <c r="I136" s="3">
        <v>63617.06</v>
      </c>
      <c r="J136" s="3">
        <v>-12.67</v>
      </c>
    </row>
    <row r="137" spans="1:10" x14ac:dyDescent="0.25">
      <c r="A137" s="2">
        <v>44987</v>
      </c>
      <c r="B137">
        <v>2023</v>
      </c>
      <c r="C137" t="s">
        <v>27</v>
      </c>
      <c r="D137">
        <v>3</v>
      </c>
      <c r="E137" t="s">
        <v>26</v>
      </c>
      <c r="F137" t="s">
        <v>20</v>
      </c>
      <c r="G137" s="3">
        <v>523</v>
      </c>
      <c r="H137" s="3">
        <v>193.28</v>
      </c>
      <c r="I137" s="3">
        <v>101085.44</v>
      </c>
      <c r="J137" s="3">
        <v>18.440000000000001</v>
      </c>
    </row>
    <row r="138" spans="1:10" x14ac:dyDescent="0.25">
      <c r="A138" s="2">
        <v>44987</v>
      </c>
      <c r="B138">
        <v>2023</v>
      </c>
      <c r="C138" t="s">
        <v>27</v>
      </c>
      <c r="D138">
        <v>3</v>
      </c>
      <c r="E138" t="s">
        <v>26</v>
      </c>
      <c r="F138" t="s">
        <v>19</v>
      </c>
      <c r="G138" s="3">
        <v>653</v>
      </c>
      <c r="H138" s="3">
        <v>153.93</v>
      </c>
      <c r="I138" s="3">
        <v>100516.29</v>
      </c>
      <c r="J138" s="3">
        <v>-4.97</v>
      </c>
    </row>
    <row r="139" spans="1:10" x14ac:dyDescent="0.25">
      <c r="A139" s="2">
        <v>44987</v>
      </c>
      <c r="B139">
        <v>2023</v>
      </c>
      <c r="C139" t="s">
        <v>27</v>
      </c>
      <c r="D139">
        <v>3</v>
      </c>
      <c r="E139" t="s">
        <v>26</v>
      </c>
      <c r="F139" t="s">
        <v>18</v>
      </c>
      <c r="G139" s="3">
        <v>719</v>
      </c>
      <c r="H139" s="3">
        <v>27.39</v>
      </c>
      <c r="I139" s="3">
        <v>19693.41</v>
      </c>
      <c r="J139" s="3">
        <v>0.95</v>
      </c>
    </row>
    <row r="140" spans="1:10" x14ac:dyDescent="0.25">
      <c r="A140" s="2">
        <v>44987</v>
      </c>
      <c r="B140">
        <v>2023</v>
      </c>
      <c r="C140" t="s">
        <v>27</v>
      </c>
      <c r="D140">
        <v>3</v>
      </c>
      <c r="E140" t="s">
        <v>26</v>
      </c>
      <c r="F140" t="s">
        <v>25</v>
      </c>
      <c r="G140" s="3">
        <v>687</v>
      </c>
      <c r="H140" s="3">
        <v>36.9</v>
      </c>
      <c r="I140" s="3">
        <v>25350.3</v>
      </c>
      <c r="J140" s="3">
        <v>-7.69</v>
      </c>
    </row>
    <row r="141" spans="1:10" x14ac:dyDescent="0.25">
      <c r="A141" s="2">
        <v>44987</v>
      </c>
      <c r="B141">
        <v>2023</v>
      </c>
      <c r="C141" t="s">
        <v>27</v>
      </c>
      <c r="D141">
        <v>3</v>
      </c>
      <c r="E141" t="s">
        <v>26</v>
      </c>
      <c r="F141" t="s">
        <v>16</v>
      </c>
      <c r="G141" s="3">
        <v>399</v>
      </c>
      <c r="H141" s="3">
        <v>117.31</v>
      </c>
      <c r="I141" s="3">
        <v>46806.69</v>
      </c>
      <c r="J141" s="3">
        <v>10.5</v>
      </c>
    </row>
    <row r="142" spans="1:10" x14ac:dyDescent="0.25">
      <c r="A142" s="2">
        <v>44987</v>
      </c>
      <c r="B142">
        <v>2023</v>
      </c>
      <c r="C142" t="s">
        <v>27</v>
      </c>
      <c r="D142">
        <v>3</v>
      </c>
      <c r="E142" t="s">
        <v>26</v>
      </c>
      <c r="F142" t="s">
        <v>15</v>
      </c>
      <c r="G142" s="3">
        <v>245</v>
      </c>
      <c r="H142" s="3">
        <v>171.56</v>
      </c>
      <c r="I142" s="3">
        <v>42032.2</v>
      </c>
      <c r="J142" s="3">
        <v>-7.22</v>
      </c>
    </row>
    <row r="143" spans="1:10" x14ac:dyDescent="0.25">
      <c r="A143" s="2">
        <v>44987</v>
      </c>
      <c r="B143">
        <v>2023</v>
      </c>
      <c r="C143" t="s">
        <v>27</v>
      </c>
      <c r="D143">
        <v>3</v>
      </c>
      <c r="E143" t="s">
        <v>26</v>
      </c>
      <c r="F143" t="s">
        <v>14</v>
      </c>
      <c r="G143" s="3">
        <v>621</v>
      </c>
      <c r="H143" s="3">
        <v>58.85</v>
      </c>
      <c r="I143" s="3">
        <v>36545.85</v>
      </c>
      <c r="J143" s="3">
        <v>9.92</v>
      </c>
    </row>
    <row r="144" spans="1:10" x14ac:dyDescent="0.25">
      <c r="A144" s="2">
        <v>44987</v>
      </c>
      <c r="B144">
        <v>2023</v>
      </c>
      <c r="C144" t="s">
        <v>27</v>
      </c>
      <c r="D144">
        <v>3</v>
      </c>
      <c r="E144" t="s">
        <v>26</v>
      </c>
      <c r="F144" t="s">
        <v>24</v>
      </c>
      <c r="G144" s="3">
        <v>493</v>
      </c>
      <c r="H144" s="3">
        <v>78.8</v>
      </c>
      <c r="I144" s="3">
        <v>38848.400000000001</v>
      </c>
      <c r="J144" s="3">
        <v>18.11</v>
      </c>
    </row>
    <row r="145" spans="1:10" x14ac:dyDescent="0.25">
      <c r="A145" s="2">
        <v>44987</v>
      </c>
      <c r="B145">
        <v>2023</v>
      </c>
      <c r="C145" t="s">
        <v>27</v>
      </c>
      <c r="D145">
        <v>3</v>
      </c>
      <c r="E145" t="s">
        <v>26</v>
      </c>
      <c r="F145" t="s">
        <v>17</v>
      </c>
      <c r="G145" s="3">
        <v>705</v>
      </c>
      <c r="H145" s="3">
        <v>195.65</v>
      </c>
      <c r="I145" s="3">
        <v>137933.25</v>
      </c>
      <c r="J145" s="3">
        <v>5.65</v>
      </c>
    </row>
    <row r="146" spans="1:10" x14ac:dyDescent="0.25">
      <c r="A146" s="2">
        <v>45017</v>
      </c>
      <c r="B146">
        <v>2023</v>
      </c>
      <c r="C146" t="s">
        <v>28</v>
      </c>
      <c r="D146">
        <v>4</v>
      </c>
      <c r="E146" t="s">
        <v>13</v>
      </c>
      <c r="F146" t="s">
        <v>14</v>
      </c>
      <c r="G146" s="3">
        <v>702</v>
      </c>
      <c r="H146" s="3">
        <v>92.94</v>
      </c>
      <c r="I146" s="3">
        <v>65243.88</v>
      </c>
      <c r="J146" s="3">
        <v>7.86</v>
      </c>
    </row>
    <row r="147" spans="1:10" x14ac:dyDescent="0.25">
      <c r="A147" s="2">
        <v>45017</v>
      </c>
      <c r="B147">
        <v>2023</v>
      </c>
      <c r="C147" t="s">
        <v>28</v>
      </c>
      <c r="D147">
        <v>4</v>
      </c>
      <c r="E147" t="s">
        <v>13</v>
      </c>
      <c r="F147" t="s">
        <v>15</v>
      </c>
      <c r="G147" s="3">
        <v>709</v>
      </c>
      <c r="H147" s="3">
        <v>41.39</v>
      </c>
      <c r="I147" s="3">
        <v>29345.51</v>
      </c>
      <c r="J147" s="3">
        <v>-10.3</v>
      </c>
    </row>
    <row r="148" spans="1:10" x14ac:dyDescent="0.25">
      <c r="A148" s="2">
        <v>45017</v>
      </c>
      <c r="B148">
        <v>2023</v>
      </c>
      <c r="C148" t="s">
        <v>28</v>
      </c>
      <c r="D148">
        <v>4</v>
      </c>
      <c r="E148" t="s">
        <v>13</v>
      </c>
      <c r="F148" t="s">
        <v>16</v>
      </c>
      <c r="G148" s="3">
        <v>410</v>
      </c>
      <c r="H148" s="3">
        <v>153.96</v>
      </c>
      <c r="I148" s="3">
        <v>63123.6</v>
      </c>
      <c r="J148" s="3">
        <v>12.24</v>
      </c>
    </row>
    <row r="149" spans="1:10" x14ac:dyDescent="0.25">
      <c r="A149" s="2">
        <v>45017</v>
      </c>
      <c r="B149">
        <v>2023</v>
      </c>
      <c r="C149" t="s">
        <v>28</v>
      </c>
      <c r="D149">
        <v>4</v>
      </c>
      <c r="E149" t="s">
        <v>13</v>
      </c>
      <c r="F149" t="s">
        <v>17</v>
      </c>
      <c r="G149" s="3">
        <v>397</v>
      </c>
      <c r="H149" s="3">
        <v>193.19</v>
      </c>
      <c r="I149" s="3">
        <v>76696.429999999993</v>
      </c>
      <c r="J149" s="3">
        <v>-0.01</v>
      </c>
    </row>
    <row r="150" spans="1:10" x14ac:dyDescent="0.25">
      <c r="A150" s="2">
        <v>45017</v>
      </c>
      <c r="B150">
        <v>2023</v>
      </c>
      <c r="C150" t="s">
        <v>28</v>
      </c>
      <c r="D150">
        <v>4</v>
      </c>
      <c r="E150" t="s">
        <v>13</v>
      </c>
      <c r="F150" t="s">
        <v>18</v>
      </c>
      <c r="G150" s="3">
        <v>418</v>
      </c>
      <c r="H150" s="3">
        <v>34.92</v>
      </c>
      <c r="I150" s="3">
        <v>14596.56</v>
      </c>
      <c r="J150" s="3">
        <v>6.13</v>
      </c>
    </row>
    <row r="151" spans="1:10" x14ac:dyDescent="0.25">
      <c r="A151" s="2">
        <v>45017</v>
      </c>
      <c r="B151">
        <v>2023</v>
      </c>
      <c r="C151" t="s">
        <v>28</v>
      </c>
      <c r="D151">
        <v>4</v>
      </c>
      <c r="E151" t="s">
        <v>13</v>
      </c>
      <c r="F151" t="s">
        <v>19</v>
      </c>
      <c r="G151" s="3">
        <v>166</v>
      </c>
      <c r="H151" s="3">
        <v>193.38</v>
      </c>
      <c r="I151" s="3">
        <v>32101.08</v>
      </c>
      <c r="J151" s="3">
        <v>-14.51</v>
      </c>
    </row>
    <row r="152" spans="1:10" x14ac:dyDescent="0.25">
      <c r="A152" s="2">
        <v>45017</v>
      </c>
      <c r="B152">
        <v>2023</v>
      </c>
      <c r="C152" t="s">
        <v>28</v>
      </c>
      <c r="D152">
        <v>4</v>
      </c>
      <c r="E152" t="s">
        <v>13</v>
      </c>
      <c r="F152" t="s">
        <v>20</v>
      </c>
      <c r="G152" s="3">
        <v>721</v>
      </c>
      <c r="H152" s="3">
        <v>120.08</v>
      </c>
      <c r="I152" s="3">
        <v>86577.68</v>
      </c>
      <c r="J152" s="3">
        <v>-2.09</v>
      </c>
    </row>
    <row r="153" spans="1:10" x14ac:dyDescent="0.25">
      <c r="A153" s="2">
        <v>45017</v>
      </c>
      <c r="B153">
        <v>2023</v>
      </c>
      <c r="C153" t="s">
        <v>28</v>
      </c>
      <c r="D153">
        <v>4</v>
      </c>
      <c r="E153" t="s">
        <v>13</v>
      </c>
      <c r="F153" t="s">
        <v>21</v>
      </c>
      <c r="G153" s="3">
        <v>129</v>
      </c>
      <c r="H153" s="3">
        <v>114.99</v>
      </c>
      <c r="I153" s="3">
        <v>14833.71</v>
      </c>
      <c r="J153" s="3">
        <v>24.72</v>
      </c>
    </row>
    <row r="154" spans="1:10" x14ac:dyDescent="0.25">
      <c r="A154" s="2">
        <v>45017</v>
      </c>
      <c r="B154">
        <v>2023</v>
      </c>
      <c r="C154" t="s">
        <v>28</v>
      </c>
      <c r="D154">
        <v>4</v>
      </c>
      <c r="E154" t="s">
        <v>13</v>
      </c>
      <c r="F154" t="s">
        <v>22</v>
      </c>
      <c r="G154" s="3">
        <v>278</v>
      </c>
      <c r="H154" s="3">
        <v>65.540000000000006</v>
      </c>
      <c r="I154" s="3">
        <v>18220.12</v>
      </c>
      <c r="J154" s="3">
        <v>12.82</v>
      </c>
    </row>
    <row r="155" spans="1:10" x14ac:dyDescent="0.25">
      <c r="A155" s="2">
        <v>45017</v>
      </c>
      <c r="B155">
        <v>2023</v>
      </c>
      <c r="C155" t="s">
        <v>28</v>
      </c>
      <c r="D155">
        <v>4</v>
      </c>
      <c r="E155" t="s">
        <v>13</v>
      </c>
      <c r="F155" t="s">
        <v>25</v>
      </c>
      <c r="G155" s="3">
        <v>490</v>
      </c>
      <c r="H155" s="3">
        <v>114.16</v>
      </c>
      <c r="I155" s="3">
        <v>55938.400000000001</v>
      </c>
      <c r="J155" s="3">
        <v>10.18</v>
      </c>
    </row>
    <row r="156" spans="1:10" x14ac:dyDescent="0.25">
      <c r="A156" s="2">
        <v>45017</v>
      </c>
      <c r="B156">
        <v>2023</v>
      </c>
      <c r="C156" t="s">
        <v>28</v>
      </c>
      <c r="D156">
        <v>4</v>
      </c>
      <c r="E156" t="s">
        <v>23</v>
      </c>
      <c r="F156" t="s">
        <v>14</v>
      </c>
      <c r="G156" s="3">
        <v>61</v>
      </c>
      <c r="H156" s="3">
        <v>192.57</v>
      </c>
      <c r="I156" s="3">
        <v>11746.77</v>
      </c>
      <c r="J156" s="3">
        <v>-12.69</v>
      </c>
    </row>
    <row r="157" spans="1:10" x14ac:dyDescent="0.25">
      <c r="A157" s="2">
        <v>45017</v>
      </c>
      <c r="B157">
        <v>2023</v>
      </c>
      <c r="C157" t="s">
        <v>28</v>
      </c>
      <c r="D157">
        <v>4</v>
      </c>
      <c r="E157" t="s">
        <v>23</v>
      </c>
      <c r="F157" t="s">
        <v>24</v>
      </c>
      <c r="G157" s="3">
        <v>615</v>
      </c>
      <c r="H157" s="3">
        <v>125.18</v>
      </c>
      <c r="I157" s="3">
        <v>76985.7</v>
      </c>
      <c r="J157" s="3">
        <v>21.05</v>
      </c>
    </row>
    <row r="158" spans="1:10" x14ac:dyDescent="0.25">
      <c r="A158" s="2">
        <v>45017</v>
      </c>
      <c r="B158">
        <v>2023</v>
      </c>
      <c r="C158" t="s">
        <v>28</v>
      </c>
      <c r="D158">
        <v>4</v>
      </c>
      <c r="E158" t="s">
        <v>23</v>
      </c>
      <c r="F158" t="s">
        <v>15</v>
      </c>
      <c r="G158" s="3">
        <v>407</v>
      </c>
      <c r="H158" s="3">
        <v>102.02</v>
      </c>
      <c r="I158" s="3">
        <v>41522.14</v>
      </c>
      <c r="J158" s="3">
        <v>9.81</v>
      </c>
    </row>
    <row r="159" spans="1:10" x14ac:dyDescent="0.25">
      <c r="A159" s="2">
        <v>45017</v>
      </c>
      <c r="B159">
        <v>2023</v>
      </c>
      <c r="C159" t="s">
        <v>28</v>
      </c>
      <c r="D159">
        <v>4</v>
      </c>
      <c r="E159" t="s">
        <v>23</v>
      </c>
      <c r="F159" t="s">
        <v>16</v>
      </c>
      <c r="G159" s="3">
        <v>57</v>
      </c>
      <c r="H159" s="3">
        <v>50.54</v>
      </c>
      <c r="I159" s="3">
        <v>2880.78</v>
      </c>
      <c r="J159" s="3">
        <v>10.87</v>
      </c>
    </row>
    <row r="160" spans="1:10" x14ac:dyDescent="0.25">
      <c r="A160" s="2">
        <v>45017</v>
      </c>
      <c r="B160">
        <v>2023</v>
      </c>
      <c r="C160" t="s">
        <v>28</v>
      </c>
      <c r="D160">
        <v>4</v>
      </c>
      <c r="E160" t="s">
        <v>23</v>
      </c>
      <c r="F160" t="s">
        <v>25</v>
      </c>
      <c r="G160" s="3">
        <v>59</v>
      </c>
      <c r="H160" s="3">
        <v>187.89</v>
      </c>
      <c r="I160" s="3">
        <v>11085.51</v>
      </c>
      <c r="J160" s="3">
        <v>19.64</v>
      </c>
    </row>
    <row r="161" spans="1:10" x14ac:dyDescent="0.25">
      <c r="A161" s="2">
        <v>45017</v>
      </c>
      <c r="B161">
        <v>2023</v>
      </c>
      <c r="C161" t="s">
        <v>28</v>
      </c>
      <c r="D161">
        <v>4</v>
      </c>
      <c r="E161" t="s">
        <v>23</v>
      </c>
      <c r="F161" t="s">
        <v>18</v>
      </c>
      <c r="G161" s="3">
        <v>781</v>
      </c>
      <c r="H161" s="3">
        <v>84.86</v>
      </c>
      <c r="I161" s="3">
        <v>66275.66</v>
      </c>
      <c r="J161" s="3">
        <v>-4.5999999999999996</v>
      </c>
    </row>
    <row r="162" spans="1:10" x14ac:dyDescent="0.25">
      <c r="A162" s="2">
        <v>45017</v>
      </c>
      <c r="B162">
        <v>2023</v>
      </c>
      <c r="C162" t="s">
        <v>28</v>
      </c>
      <c r="D162">
        <v>4</v>
      </c>
      <c r="E162" t="s">
        <v>23</v>
      </c>
      <c r="F162" t="s">
        <v>19</v>
      </c>
      <c r="G162" s="3">
        <v>551</v>
      </c>
      <c r="H162" s="3">
        <v>25.82</v>
      </c>
      <c r="I162" s="3">
        <v>14226.82</v>
      </c>
      <c r="J162" s="3">
        <v>-3.81</v>
      </c>
    </row>
    <row r="163" spans="1:10" x14ac:dyDescent="0.25">
      <c r="A163" s="2">
        <v>45017</v>
      </c>
      <c r="B163">
        <v>2023</v>
      </c>
      <c r="C163" t="s">
        <v>28</v>
      </c>
      <c r="D163">
        <v>4</v>
      </c>
      <c r="E163" t="s">
        <v>23</v>
      </c>
      <c r="F163" t="s">
        <v>20</v>
      </c>
      <c r="G163" s="3">
        <v>773</v>
      </c>
      <c r="H163" s="3">
        <v>128.5</v>
      </c>
      <c r="I163" s="3">
        <v>99330.5</v>
      </c>
      <c r="J163" s="3">
        <v>-4.16</v>
      </c>
    </row>
    <row r="164" spans="1:10" x14ac:dyDescent="0.25">
      <c r="A164" s="2">
        <v>45017</v>
      </c>
      <c r="B164">
        <v>2023</v>
      </c>
      <c r="C164" t="s">
        <v>28</v>
      </c>
      <c r="D164">
        <v>4</v>
      </c>
      <c r="E164" t="s">
        <v>23</v>
      </c>
      <c r="F164" t="s">
        <v>21</v>
      </c>
      <c r="G164" s="3">
        <v>607</v>
      </c>
      <c r="H164" s="3">
        <v>33.72</v>
      </c>
      <c r="I164" s="3">
        <v>20468.04</v>
      </c>
      <c r="J164" s="3">
        <v>22.62</v>
      </c>
    </row>
    <row r="165" spans="1:10" x14ac:dyDescent="0.25">
      <c r="A165" s="2">
        <v>45017</v>
      </c>
      <c r="B165">
        <v>2023</v>
      </c>
      <c r="C165" t="s">
        <v>28</v>
      </c>
      <c r="D165">
        <v>4</v>
      </c>
      <c r="E165" t="s">
        <v>23</v>
      </c>
      <c r="F165" t="s">
        <v>22</v>
      </c>
      <c r="G165" s="3">
        <v>305</v>
      </c>
      <c r="H165" s="3">
        <v>124.61</v>
      </c>
      <c r="I165" s="3">
        <v>38006.050000000003</v>
      </c>
      <c r="J165" s="3">
        <v>21.77</v>
      </c>
    </row>
    <row r="166" spans="1:10" x14ac:dyDescent="0.25">
      <c r="A166" s="2">
        <v>45017</v>
      </c>
      <c r="B166">
        <v>2023</v>
      </c>
      <c r="C166" t="s">
        <v>28</v>
      </c>
      <c r="D166">
        <v>4</v>
      </c>
      <c r="E166" t="s">
        <v>13</v>
      </c>
      <c r="F166" t="s">
        <v>24</v>
      </c>
      <c r="G166" s="3">
        <v>580</v>
      </c>
      <c r="H166" s="3">
        <v>40.020000000000003</v>
      </c>
      <c r="I166" s="3">
        <v>23211.599999999999</v>
      </c>
      <c r="J166" s="3">
        <v>4.71</v>
      </c>
    </row>
    <row r="167" spans="1:10" x14ac:dyDescent="0.25">
      <c r="A167" s="2">
        <v>45017</v>
      </c>
      <c r="B167">
        <v>2023</v>
      </c>
      <c r="C167" t="s">
        <v>28</v>
      </c>
      <c r="D167">
        <v>4</v>
      </c>
      <c r="E167" t="s">
        <v>23</v>
      </c>
      <c r="F167" t="s">
        <v>12</v>
      </c>
      <c r="G167" s="3">
        <v>575</v>
      </c>
      <c r="H167" s="3">
        <v>73.010000000000005</v>
      </c>
      <c r="I167" s="3">
        <v>41980.75</v>
      </c>
      <c r="J167" s="3">
        <v>24.83</v>
      </c>
    </row>
    <row r="168" spans="1:10" x14ac:dyDescent="0.25">
      <c r="A168" s="2">
        <v>45017</v>
      </c>
      <c r="B168">
        <v>2023</v>
      </c>
      <c r="C168" t="s">
        <v>28</v>
      </c>
      <c r="D168">
        <v>4</v>
      </c>
      <c r="E168" t="s">
        <v>23</v>
      </c>
      <c r="F168" t="s">
        <v>17</v>
      </c>
      <c r="G168" s="3">
        <v>697</v>
      </c>
      <c r="H168" s="3">
        <v>83.6</v>
      </c>
      <c r="I168" s="3">
        <v>58269.2</v>
      </c>
      <c r="J168" s="3">
        <v>8.35</v>
      </c>
    </row>
    <row r="169" spans="1:10" x14ac:dyDescent="0.25">
      <c r="A169" s="2">
        <v>45017</v>
      </c>
      <c r="B169">
        <v>2023</v>
      </c>
      <c r="C169" t="s">
        <v>28</v>
      </c>
      <c r="D169">
        <v>4</v>
      </c>
      <c r="E169" t="s">
        <v>13</v>
      </c>
      <c r="F169" t="s">
        <v>12</v>
      </c>
      <c r="G169" s="3">
        <v>231</v>
      </c>
      <c r="H169" s="3">
        <v>146.91999999999999</v>
      </c>
      <c r="I169" s="3">
        <v>33938.519999999997</v>
      </c>
      <c r="J169" s="3">
        <v>-5.05</v>
      </c>
    </row>
    <row r="170" spans="1:10" x14ac:dyDescent="0.25">
      <c r="A170" s="2">
        <v>45017</v>
      </c>
      <c r="B170">
        <v>2023</v>
      </c>
      <c r="C170" t="s">
        <v>28</v>
      </c>
      <c r="D170">
        <v>4</v>
      </c>
      <c r="E170" t="s">
        <v>26</v>
      </c>
      <c r="F170" t="s">
        <v>22</v>
      </c>
      <c r="G170" s="3">
        <v>266</v>
      </c>
      <c r="H170" s="3">
        <v>126.54</v>
      </c>
      <c r="I170" s="3">
        <v>33659.64</v>
      </c>
      <c r="J170" s="3">
        <v>-0.99</v>
      </c>
    </row>
    <row r="171" spans="1:10" x14ac:dyDescent="0.25">
      <c r="A171" s="2">
        <v>45017</v>
      </c>
      <c r="B171">
        <v>2023</v>
      </c>
      <c r="C171" t="s">
        <v>28</v>
      </c>
      <c r="D171">
        <v>4</v>
      </c>
      <c r="E171" t="s">
        <v>26</v>
      </c>
      <c r="F171" t="s">
        <v>25</v>
      </c>
      <c r="G171" s="3">
        <v>301</v>
      </c>
      <c r="H171" s="3">
        <v>35.03</v>
      </c>
      <c r="I171" s="3">
        <v>10544.03</v>
      </c>
      <c r="J171" s="3">
        <v>16.09</v>
      </c>
    </row>
    <row r="172" spans="1:10" x14ac:dyDescent="0.25">
      <c r="A172" s="2">
        <v>45017</v>
      </c>
      <c r="B172">
        <v>2023</v>
      </c>
      <c r="C172" t="s">
        <v>28</v>
      </c>
      <c r="D172">
        <v>4</v>
      </c>
      <c r="E172" t="s">
        <v>11</v>
      </c>
      <c r="F172" t="s">
        <v>12</v>
      </c>
      <c r="G172" s="3">
        <v>725</v>
      </c>
      <c r="H172" s="3">
        <v>51.94</v>
      </c>
      <c r="I172" s="3">
        <v>37656.5</v>
      </c>
      <c r="J172" s="3">
        <v>15.02</v>
      </c>
    </row>
    <row r="173" spans="1:10" x14ac:dyDescent="0.25">
      <c r="A173" s="2">
        <v>45017</v>
      </c>
      <c r="B173">
        <v>2023</v>
      </c>
      <c r="C173" t="s">
        <v>28</v>
      </c>
      <c r="D173">
        <v>4</v>
      </c>
      <c r="E173" t="s">
        <v>11</v>
      </c>
      <c r="F173" t="s">
        <v>24</v>
      </c>
      <c r="G173" s="3">
        <v>241</v>
      </c>
      <c r="H173" s="3">
        <v>123.67</v>
      </c>
      <c r="I173" s="3">
        <v>29804.47</v>
      </c>
      <c r="J173" s="3">
        <v>14.27</v>
      </c>
    </row>
    <row r="174" spans="1:10" x14ac:dyDescent="0.25">
      <c r="A174" s="2">
        <v>45017</v>
      </c>
      <c r="B174">
        <v>2023</v>
      </c>
      <c r="C174" t="s">
        <v>28</v>
      </c>
      <c r="D174">
        <v>4</v>
      </c>
      <c r="E174" t="s">
        <v>11</v>
      </c>
      <c r="F174" t="s">
        <v>14</v>
      </c>
      <c r="G174" s="3">
        <v>597</v>
      </c>
      <c r="H174" s="3">
        <v>86.96</v>
      </c>
      <c r="I174" s="3">
        <v>51915.12</v>
      </c>
      <c r="J174" s="3">
        <v>16.059999999999999</v>
      </c>
    </row>
    <row r="175" spans="1:10" x14ac:dyDescent="0.25">
      <c r="A175" s="2">
        <v>45017</v>
      </c>
      <c r="B175">
        <v>2023</v>
      </c>
      <c r="C175" t="s">
        <v>28</v>
      </c>
      <c r="D175">
        <v>4</v>
      </c>
      <c r="E175" t="s">
        <v>11</v>
      </c>
      <c r="F175" t="s">
        <v>15</v>
      </c>
      <c r="G175" s="3">
        <v>713</v>
      </c>
      <c r="H175" s="3">
        <v>176.08</v>
      </c>
      <c r="I175" s="3">
        <v>125545.04</v>
      </c>
      <c r="J175" s="3">
        <v>7.47</v>
      </c>
    </row>
    <row r="176" spans="1:10" x14ac:dyDescent="0.25">
      <c r="A176" s="2">
        <v>45017</v>
      </c>
      <c r="B176">
        <v>2023</v>
      </c>
      <c r="C176" t="s">
        <v>28</v>
      </c>
      <c r="D176">
        <v>4</v>
      </c>
      <c r="E176" t="s">
        <v>11</v>
      </c>
      <c r="F176" t="s">
        <v>16</v>
      </c>
      <c r="G176" s="3">
        <v>418</v>
      </c>
      <c r="H176" s="3">
        <v>142.37</v>
      </c>
      <c r="I176" s="3">
        <v>59510.66</v>
      </c>
      <c r="J176" s="3">
        <v>14.6</v>
      </c>
    </row>
    <row r="177" spans="1:10" x14ac:dyDescent="0.25">
      <c r="A177" s="2">
        <v>45017</v>
      </c>
      <c r="B177">
        <v>2023</v>
      </c>
      <c r="C177" t="s">
        <v>28</v>
      </c>
      <c r="D177">
        <v>4</v>
      </c>
      <c r="E177" t="s">
        <v>11</v>
      </c>
      <c r="F177" t="s">
        <v>18</v>
      </c>
      <c r="G177" s="3">
        <v>778</v>
      </c>
      <c r="H177" s="3">
        <v>77.61</v>
      </c>
      <c r="I177" s="3">
        <v>60380.58</v>
      </c>
      <c r="J177" s="3">
        <v>20.82</v>
      </c>
    </row>
    <row r="178" spans="1:10" x14ac:dyDescent="0.25">
      <c r="A178" s="2">
        <v>45017</v>
      </c>
      <c r="B178">
        <v>2023</v>
      </c>
      <c r="C178" t="s">
        <v>28</v>
      </c>
      <c r="D178">
        <v>4</v>
      </c>
      <c r="E178" t="s">
        <v>11</v>
      </c>
      <c r="F178" t="s">
        <v>19</v>
      </c>
      <c r="G178" s="3">
        <v>226</v>
      </c>
      <c r="H178" s="3">
        <v>29.63</v>
      </c>
      <c r="I178" s="3">
        <v>6696.38</v>
      </c>
      <c r="J178" s="3">
        <v>23.34</v>
      </c>
    </row>
    <row r="179" spans="1:10" x14ac:dyDescent="0.25">
      <c r="A179" s="2">
        <v>45017</v>
      </c>
      <c r="B179">
        <v>2023</v>
      </c>
      <c r="C179" t="s">
        <v>28</v>
      </c>
      <c r="D179">
        <v>4</v>
      </c>
      <c r="E179" t="s">
        <v>11</v>
      </c>
      <c r="F179" t="s">
        <v>20</v>
      </c>
      <c r="G179" s="3">
        <v>125</v>
      </c>
      <c r="H179" s="3">
        <v>83.88</v>
      </c>
      <c r="I179" s="3">
        <v>10485</v>
      </c>
      <c r="J179" s="3">
        <v>23.27</v>
      </c>
    </row>
    <row r="180" spans="1:10" x14ac:dyDescent="0.25">
      <c r="A180" s="2">
        <v>45017</v>
      </c>
      <c r="B180">
        <v>2023</v>
      </c>
      <c r="C180" t="s">
        <v>28</v>
      </c>
      <c r="D180">
        <v>4</v>
      </c>
      <c r="E180" t="s">
        <v>11</v>
      </c>
      <c r="F180" t="s">
        <v>21</v>
      </c>
      <c r="G180" s="3">
        <v>784</v>
      </c>
      <c r="H180" s="3">
        <v>191.11</v>
      </c>
      <c r="I180" s="3">
        <v>149830.24</v>
      </c>
      <c r="J180" s="3">
        <v>7.94</v>
      </c>
    </row>
    <row r="181" spans="1:10" x14ac:dyDescent="0.25">
      <c r="A181" s="2">
        <v>45017</v>
      </c>
      <c r="B181">
        <v>2023</v>
      </c>
      <c r="C181" t="s">
        <v>28</v>
      </c>
      <c r="D181">
        <v>4</v>
      </c>
      <c r="E181" t="s">
        <v>11</v>
      </c>
      <c r="F181" t="s">
        <v>22</v>
      </c>
      <c r="G181" s="3">
        <v>416</v>
      </c>
      <c r="H181" s="3">
        <v>34.99</v>
      </c>
      <c r="I181" s="3">
        <v>14555.84</v>
      </c>
      <c r="J181" s="3">
        <v>-11.33</v>
      </c>
    </row>
    <row r="182" spans="1:10" x14ac:dyDescent="0.25">
      <c r="A182" s="2">
        <v>45017</v>
      </c>
      <c r="B182">
        <v>2023</v>
      </c>
      <c r="C182" t="s">
        <v>28</v>
      </c>
      <c r="D182">
        <v>4</v>
      </c>
      <c r="E182" t="s">
        <v>11</v>
      </c>
      <c r="F182" t="s">
        <v>17</v>
      </c>
      <c r="G182" s="3">
        <v>322</v>
      </c>
      <c r="H182" s="3">
        <v>116.18</v>
      </c>
      <c r="I182" s="3">
        <v>37409.96</v>
      </c>
      <c r="J182" s="3">
        <v>4.8600000000000003</v>
      </c>
    </row>
    <row r="183" spans="1:10" x14ac:dyDescent="0.25">
      <c r="A183" s="2">
        <v>45017</v>
      </c>
      <c r="B183">
        <v>2023</v>
      </c>
      <c r="C183" t="s">
        <v>28</v>
      </c>
      <c r="D183">
        <v>4</v>
      </c>
      <c r="E183" t="s">
        <v>26</v>
      </c>
      <c r="F183" t="s">
        <v>12</v>
      </c>
      <c r="G183" s="3">
        <v>533</v>
      </c>
      <c r="H183" s="3">
        <v>190.32</v>
      </c>
      <c r="I183" s="3">
        <v>101440.56</v>
      </c>
      <c r="J183" s="3">
        <v>16.25</v>
      </c>
    </row>
    <row r="184" spans="1:10" x14ac:dyDescent="0.25">
      <c r="A184" s="2">
        <v>45017</v>
      </c>
      <c r="B184">
        <v>2023</v>
      </c>
      <c r="C184" t="s">
        <v>28</v>
      </c>
      <c r="D184">
        <v>4</v>
      </c>
      <c r="E184" t="s">
        <v>11</v>
      </c>
      <c r="F184" t="s">
        <v>25</v>
      </c>
      <c r="G184" s="3">
        <v>445</v>
      </c>
      <c r="H184" s="3">
        <v>79.16</v>
      </c>
      <c r="I184" s="3">
        <v>35226.199999999997</v>
      </c>
      <c r="J184" s="3">
        <v>11.9</v>
      </c>
    </row>
    <row r="185" spans="1:10" x14ac:dyDescent="0.25">
      <c r="A185" s="2">
        <v>45017</v>
      </c>
      <c r="B185">
        <v>2023</v>
      </c>
      <c r="C185" t="s">
        <v>28</v>
      </c>
      <c r="D185">
        <v>4</v>
      </c>
      <c r="E185" t="s">
        <v>26</v>
      </c>
      <c r="F185" t="s">
        <v>20</v>
      </c>
      <c r="G185" s="3">
        <v>471</v>
      </c>
      <c r="H185" s="3">
        <v>197.6</v>
      </c>
      <c r="I185" s="3">
        <v>93069.6</v>
      </c>
      <c r="J185" s="3">
        <v>-0.03</v>
      </c>
    </row>
    <row r="186" spans="1:10" x14ac:dyDescent="0.25">
      <c r="A186" s="2">
        <v>45017</v>
      </c>
      <c r="B186">
        <v>2023</v>
      </c>
      <c r="C186" t="s">
        <v>28</v>
      </c>
      <c r="D186">
        <v>4</v>
      </c>
      <c r="E186" t="s">
        <v>26</v>
      </c>
      <c r="F186" t="s">
        <v>19</v>
      </c>
      <c r="G186" s="3">
        <v>683</v>
      </c>
      <c r="H186" s="3">
        <v>46.39</v>
      </c>
      <c r="I186" s="3">
        <v>31684.37</v>
      </c>
      <c r="J186" s="3">
        <v>5.53</v>
      </c>
    </row>
    <row r="187" spans="1:10" x14ac:dyDescent="0.25">
      <c r="A187" s="2">
        <v>45017</v>
      </c>
      <c r="B187">
        <v>2023</v>
      </c>
      <c r="C187" t="s">
        <v>28</v>
      </c>
      <c r="D187">
        <v>4</v>
      </c>
      <c r="E187" t="s">
        <v>26</v>
      </c>
      <c r="F187" t="s">
        <v>18</v>
      </c>
      <c r="G187" s="3">
        <v>217</v>
      </c>
      <c r="H187" s="3">
        <v>33.1</v>
      </c>
      <c r="I187" s="3">
        <v>7182.7</v>
      </c>
      <c r="J187" s="3">
        <v>17.87</v>
      </c>
    </row>
    <row r="188" spans="1:10" x14ac:dyDescent="0.25">
      <c r="A188" s="2">
        <v>45017</v>
      </c>
      <c r="B188">
        <v>2023</v>
      </c>
      <c r="C188" t="s">
        <v>28</v>
      </c>
      <c r="D188">
        <v>4</v>
      </c>
      <c r="E188" t="s">
        <v>26</v>
      </c>
      <c r="F188" t="s">
        <v>17</v>
      </c>
      <c r="G188" s="3">
        <v>302</v>
      </c>
      <c r="H188" s="3">
        <v>170.93</v>
      </c>
      <c r="I188" s="3">
        <v>51620.86</v>
      </c>
      <c r="J188" s="3">
        <v>2.04</v>
      </c>
    </row>
    <row r="189" spans="1:10" x14ac:dyDescent="0.25">
      <c r="A189" s="2">
        <v>45017</v>
      </c>
      <c r="B189">
        <v>2023</v>
      </c>
      <c r="C189" t="s">
        <v>28</v>
      </c>
      <c r="D189">
        <v>4</v>
      </c>
      <c r="E189" t="s">
        <v>26</v>
      </c>
      <c r="F189" t="s">
        <v>21</v>
      </c>
      <c r="G189" s="3">
        <v>391</v>
      </c>
      <c r="H189" s="3">
        <v>166.3</v>
      </c>
      <c r="I189" s="3">
        <v>65023.3</v>
      </c>
      <c r="J189" s="3">
        <v>22.89</v>
      </c>
    </row>
    <row r="190" spans="1:10" x14ac:dyDescent="0.25">
      <c r="A190" s="2">
        <v>45017</v>
      </c>
      <c r="B190">
        <v>2023</v>
      </c>
      <c r="C190" t="s">
        <v>28</v>
      </c>
      <c r="D190">
        <v>4</v>
      </c>
      <c r="E190" t="s">
        <v>26</v>
      </c>
      <c r="F190" t="s">
        <v>15</v>
      </c>
      <c r="G190" s="3">
        <v>264</v>
      </c>
      <c r="H190" s="3">
        <v>118.26</v>
      </c>
      <c r="I190" s="3">
        <v>31220.639999999999</v>
      </c>
      <c r="J190" s="3">
        <v>13.23</v>
      </c>
    </row>
    <row r="191" spans="1:10" x14ac:dyDescent="0.25">
      <c r="A191" s="2">
        <v>45017</v>
      </c>
      <c r="B191">
        <v>2023</v>
      </c>
      <c r="C191" t="s">
        <v>28</v>
      </c>
      <c r="D191">
        <v>4</v>
      </c>
      <c r="E191" t="s">
        <v>26</v>
      </c>
      <c r="F191" t="s">
        <v>14</v>
      </c>
      <c r="G191" s="3">
        <v>447</v>
      </c>
      <c r="H191" s="3">
        <v>118.92</v>
      </c>
      <c r="I191" s="3">
        <v>53157.24</v>
      </c>
      <c r="J191" s="3">
        <v>2.66</v>
      </c>
    </row>
    <row r="192" spans="1:10" x14ac:dyDescent="0.25">
      <c r="A192" s="2">
        <v>45017</v>
      </c>
      <c r="B192">
        <v>2023</v>
      </c>
      <c r="C192" t="s">
        <v>28</v>
      </c>
      <c r="D192">
        <v>4</v>
      </c>
      <c r="E192" t="s">
        <v>26</v>
      </c>
      <c r="F192" t="s">
        <v>24</v>
      </c>
      <c r="G192" s="3">
        <v>88</v>
      </c>
      <c r="H192" s="3">
        <v>36.42</v>
      </c>
      <c r="I192" s="3">
        <v>3204.96</v>
      </c>
      <c r="J192" s="3">
        <v>4.78</v>
      </c>
    </row>
    <row r="193" spans="1:10" x14ac:dyDescent="0.25">
      <c r="A193" s="2">
        <v>45017</v>
      </c>
      <c r="B193">
        <v>2023</v>
      </c>
      <c r="C193" t="s">
        <v>28</v>
      </c>
      <c r="D193">
        <v>4</v>
      </c>
      <c r="E193" t="s">
        <v>26</v>
      </c>
      <c r="F193" t="s">
        <v>16</v>
      </c>
      <c r="G193" s="3">
        <v>637</v>
      </c>
      <c r="H193" s="3">
        <v>143.85</v>
      </c>
      <c r="I193" s="3">
        <v>91632.45</v>
      </c>
      <c r="J193" s="3">
        <v>18.48</v>
      </c>
    </row>
    <row r="194" spans="1:10" x14ac:dyDescent="0.25">
      <c r="A194" s="2">
        <v>45047</v>
      </c>
      <c r="B194">
        <v>2023</v>
      </c>
      <c r="C194" t="s">
        <v>29</v>
      </c>
      <c r="D194">
        <v>5</v>
      </c>
      <c r="E194" t="s">
        <v>13</v>
      </c>
      <c r="F194" t="s">
        <v>25</v>
      </c>
      <c r="G194" s="3">
        <v>127</v>
      </c>
      <c r="H194" s="3">
        <v>79.42</v>
      </c>
      <c r="I194" s="3">
        <v>10086.34</v>
      </c>
      <c r="J194" s="3">
        <v>-2.14</v>
      </c>
    </row>
    <row r="195" spans="1:10" x14ac:dyDescent="0.25">
      <c r="A195" s="2">
        <v>45047</v>
      </c>
      <c r="B195">
        <v>2023</v>
      </c>
      <c r="C195" t="s">
        <v>29</v>
      </c>
      <c r="D195">
        <v>5</v>
      </c>
      <c r="E195" t="s">
        <v>13</v>
      </c>
      <c r="F195" t="s">
        <v>14</v>
      </c>
      <c r="G195" s="3">
        <v>92</v>
      </c>
      <c r="H195" s="3">
        <v>63.23</v>
      </c>
      <c r="I195" s="3">
        <v>5817.16</v>
      </c>
      <c r="J195" s="3">
        <v>-11.97</v>
      </c>
    </row>
    <row r="196" spans="1:10" x14ac:dyDescent="0.25">
      <c r="A196" s="2">
        <v>45047</v>
      </c>
      <c r="B196">
        <v>2023</v>
      </c>
      <c r="C196" t="s">
        <v>29</v>
      </c>
      <c r="D196">
        <v>5</v>
      </c>
      <c r="E196" t="s">
        <v>13</v>
      </c>
      <c r="F196" t="s">
        <v>15</v>
      </c>
      <c r="G196" s="3">
        <v>712</v>
      </c>
      <c r="H196" s="3">
        <v>43.05</v>
      </c>
      <c r="I196" s="3">
        <v>30651.599999999999</v>
      </c>
      <c r="J196" s="3">
        <v>-8.92</v>
      </c>
    </row>
    <row r="197" spans="1:10" x14ac:dyDescent="0.25">
      <c r="A197" s="2">
        <v>45047</v>
      </c>
      <c r="B197">
        <v>2023</v>
      </c>
      <c r="C197" t="s">
        <v>29</v>
      </c>
      <c r="D197">
        <v>5</v>
      </c>
      <c r="E197" t="s">
        <v>13</v>
      </c>
      <c r="F197" t="s">
        <v>16</v>
      </c>
      <c r="G197" s="3">
        <v>423</v>
      </c>
      <c r="H197" s="3">
        <v>145.58000000000001</v>
      </c>
      <c r="I197" s="3">
        <v>61580.34</v>
      </c>
      <c r="J197" s="3">
        <v>-7.8</v>
      </c>
    </row>
    <row r="198" spans="1:10" x14ac:dyDescent="0.25">
      <c r="A198" s="2">
        <v>45047</v>
      </c>
      <c r="B198">
        <v>2023</v>
      </c>
      <c r="C198" t="s">
        <v>29</v>
      </c>
      <c r="D198">
        <v>5</v>
      </c>
      <c r="E198" t="s">
        <v>13</v>
      </c>
      <c r="F198" t="s">
        <v>17</v>
      </c>
      <c r="G198" s="3">
        <v>745</v>
      </c>
      <c r="H198" s="3">
        <v>94.1</v>
      </c>
      <c r="I198" s="3">
        <v>70104.5</v>
      </c>
      <c r="J198" s="3">
        <v>19.97</v>
      </c>
    </row>
    <row r="199" spans="1:10" x14ac:dyDescent="0.25">
      <c r="A199" s="2">
        <v>45047</v>
      </c>
      <c r="B199">
        <v>2023</v>
      </c>
      <c r="C199" t="s">
        <v>29</v>
      </c>
      <c r="D199">
        <v>5</v>
      </c>
      <c r="E199" t="s">
        <v>13</v>
      </c>
      <c r="F199" t="s">
        <v>18</v>
      </c>
      <c r="G199" s="3">
        <v>716</v>
      </c>
      <c r="H199" s="3">
        <v>140.16</v>
      </c>
      <c r="I199" s="3">
        <v>100354.56</v>
      </c>
      <c r="J199" s="3">
        <v>-8.11</v>
      </c>
    </row>
    <row r="200" spans="1:10" x14ac:dyDescent="0.25">
      <c r="A200" s="2">
        <v>45047</v>
      </c>
      <c r="B200">
        <v>2023</v>
      </c>
      <c r="C200" t="s">
        <v>29</v>
      </c>
      <c r="D200">
        <v>5</v>
      </c>
      <c r="E200" t="s">
        <v>13</v>
      </c>
      <c r="F200" t="s">
        <v>19</v>
      </c>
      <c r="G200" s="3">
        <v>683</v>
      </c>
      <c r="H200" s="3">
        <v>60.29</v>
      </c>
      <c r="I200" s="3">
        <v>41178.07</v>
      </c>
      <c r="J200" s="3">
        <v>17.87</v>
      </c>
    </row>
    <row r="201" spans="1:10" x14ac:dyDescent="0.25">
      <c r="A201" s="2">
        <v>45047</v>
      </c>
      <c r="B201">
        <v>2023</v>
      </c>
      <c r="C201" t="s">
        <v>29</v>
      </c>
      <c r="D201">
        <v>5</v>
      </c>
      <c r="E201" t="s">
        <v>13</v>
      </c>
      <c r="F201" t="s">
        <v>20</v>
      </c>
      <c r="G201" s="3">
        <v>515</v>
      </c>
      <c r="H201" s="3">
        <v>70.150000000000006</v>
      </c>
      <c r="I201" s="3">
        <v>36127.25</v>
      </c>
      <c r="J201" s="3">
        <v>-7.92</v>
      </c>
    </row>
    <row r="202" spans="1:10" x14ac:dyDescent="0.25">
      <c r="A202" s="2">
        <v>45047</v>
      </c>
      <c r="B202">
        <v>2023</v>
      </c>
      <c r="C202" t="s">
        <v>29</v>
      </c>
      <c r="D202">
        <v>5</v>
      </c>
      <c r="E202" t="s">
        <v>13</v>
      </c>
      <c r="F202" t="s">
        <v>21</v>
      </c>
      <c r="G202" s="3">
        <v>454</v>
      </c>
      <c r="H202" s="3">
        <v>118.77</v>
      </c>
      <c r="I202" s="3">
        <v>53921.58</v>
      </c>
      <c r="J202" s="3">
        <v>6.38</v>
      </c>
    </row>
    <row r="203" spans="1:10" x14ac:dyDescent="0.25">
      <c r="A203" s="2">
        <v>45047</v>
      </c>
      <c r="B203">
        <v>2023</v>
      </c>
      <c r="C203" t="s">
        <v>29</v>
      </c>
      <c r="D203">
        <v>5</v>
      </c>
      <c r="E203" t="s">
        <v>13</v>
      </c>
      <c r="F203" t="s">
        <v>22</v>
      </c>
      <c r="G203" s="3">
        <v>573</v>
      </c>
      <c r="H203" s="3">
        <v>57.14</v>
      </c>
      <c r="I203" s="3">
        <v>32741.22</v>
      </c>
      <c r="J203" s="3">
        <v>-0.43</v>
      </c>
    </row>
    <row r="204" spans="1:10" x14ac:dyDescent="0.25">
      <c r="A204" s="2">
        <v>45047</v>
      </c>
      <c r="B204">
        <v>2023</v>
      </c>
      <c r="C204" t="s">
        <v>29</v>
      </c>
      <c r="D204">
        <v>5</v>
      </c>
      <c r="E204" t="s">
        <v>23</v>
      </c>
      <c r="F204" t="s">
        <v>12</v>
      </c>
      <c r="G204" s="3">
        <v>298</v>
      </c>
      <c r="H204" s="3">
        <v>106.61</v>
      </c>
      <c r="I204" s="3">
        <v>31769.78</v>
      </c>
      <c r="J204" s="3">
        <v>12.51</v>
      </c>
    </row>
    <row r="205" spans="1:10" x14ac:dyDescent="0.25">
      <c r="A205" s="2">
        <v>45047</v>
      </c>
      <c r="B205">
        <v>2023</v>
      </c>
      <c r="C205" t="s">
        <v>29</v>
      </c>
      <c r="D205">
        <v>5</v>
      </c>
      <c r="E205" t="s">
        <v>13</v>
      </c>
      <c r="F205" t="s">
        <v>24</v>
      </c>
      <c r="G205" s="3">
        <v>102</v>
      </c>
      <c r="H205" s="3">
        <v>82.53</v>
      </c>
      <c r="I205" s="3">
        <v>8418.06</v>
      </c>
      <c r="J205" s="3">
        <v>-6.63</v>
      </c>
    </row>
    <row r="206" spans="1:10" x14ac:dyDescent="0.25">
      <c r="A206" s="2">
        <v>45047</v>
      </c>
      <c r="B206">
        <v>2023</v>
      </c>
      <c r="C206" t="s">
        <v>29</v>
      </c>
      <c r="D206">
        <v>5</v>
      </c>
      <c r="E206" t="s">
        <v>23</v>
      </c>
      <c r="F206" t="s">
        <v>14</v>
      </c>
      <c r="G206" s="3">
        <v>622</v>
      </c>
      <c r="H206" s="3">
        <v>20.47</v>
      </c>
      <c r="I206" s="3">
        <v>12732.34</v>
      </c>
      <c r="J206" s="3">
        <v>19.73</v>
      </c>
    </row>
    <row r="207" spans="1:10" x14ac:dyDescent="0.25">
      <c r="A207" s="2">
        <v>45047</v>
      </c>
      <c r="B207">
        <v>2023</v>
      </c>
      <c r="C207" t="s">
        <v>29</v>
      </c>
      <c r="D207">
        <v>5</v>
      </c>
      <c r="E207" t="s">
        <v>23</v>
      </c>
      <c r="F207" t="s">
        <v>15</v>
      </c>
      <c r="G207" s="3">
        <v>57</v>
      </c>
      <c r="H207" s="3">
        <v>154.69</v>
      </c>
      <c r="I207" s="3">
        <v>8817.33</v>
      </c>
      <c r="J207" s="3">
        <v>-7.62</v>
      </c>
    </row>
    <row r="208" spans="1:10" x14ac:dyDescent="0.25">
      <c r="A208" s="2">
        <v>45047</v>
      </c>
      <c r="B208">
        <v>2023</v>
      </c>
      <c r="C208" t="s">
        <v>29</v>
      </c>
      <c r="D208">
        <v>5</v>
      </c>
      <c r="E208" t="s">
        <v>23</v>
      </c>
      <c r="F208" t="s">
        <v>16</v>
      </c>
      <c r="G208" s="3">
        <v>768</v>
      </c>
      <c r="H208" s="3">
        <v>116.59</v>
      </c>
      <c r="I208" s="3">
        <v>89541.119999999995</v>
      </c>
      <c r="J208" s="3">
        <v>21.96</v>
      </c>
    </row>
    <row r="209" spans="1:10" x14ac:dyDescent="0.25">
      <c r="A209" s="2">
        <v>45047</v>
      </c>
      <c r="B209">
        <v>2023</v>
      </c>
      <c r="C209" t="s">
        <v>29</v>
      </c>
      <c r="D209">
        <v>5</v>
      </c>
      <c r="E209" t="s">
        <v>23</v>
      </c>
      <c r="F209" t="s">
        <v>17</v>
      </c>
      <c r="G209" s="3">
        <v>575</v>
      </c>
      <c r="H209" s="3">
        <v>131.29</v>
      </c>
      <c r="I209" s="3">
        <v>75491.75</v>
      </c>
      <c r="J209" s="3">
        <v>-0.24</v>
      </c>
    </row>
    <row r="210" spans="1:10" x14ac:dyDescent="0.25">
      <c r="A210" s="2">
        <v>45047</v>
      </c>
      <c r="B210">
        <v>2023</v>
      </c>
      <c r="C210" t="s">
        <v>29</v>
      </c>
      <c r="D210">
        <v>5</v>
      </c>
      <c r="E210" t="s">
        <v>23</v>
      </c>
      <c r="F210" t="s">
        <v>18</v>
      </c>
      <c r="G210" s="3">
        <v>265</v>
      </c>
      <c r="H210" s="3">
        <v>149.69</v>
      </c>
      <c r="I210" s="3">
        <v>39667.85</v>
      </c>
      <c r="J210" s="3">
        <v>-12.51</v>
      </c>
    </row>
    <row r="211" spans="1:10" x14ac:dyDescent="0.25">
      <c r="A211" s="2">
        <v>45047</v>
      </c>
      <c r="B211">
        <v>2023</v>
      </c>
      <c r="C211" t="s">
        <v>29</v>
      </c>
      <c r="D211">
        <v>5</v>
      </c>
      <c r="E211" t="s">
        <v>23</v>
      </c>
      <c r="F211" t="s">
        <v>19</v>
      </c>
      <c r="G211" s="3">
        <v>748</v>
      </c>
      <c r="H211" s="3">
        <v>65.44</v>
      </c>
      <c r="I211" s="3">
        <v>48949.120000000003</v>
      </c>
      <c r="J211" s="3">
        <v>13.53</v>
      </c>
    </row>
    <row r="212" spans="1:10" x14ac:dyDescent="0.25">
      <c r="A212" s="2">
        <v>45047</v>
      </c>
      <c r="B212">
        <v>2023</v>
      </c>
      <c r="C212" t="s">
        <v>29</v>
      </c>
      <c r="D212">
        <v>5</v>
      </c>
      <c r="E212" t="s">
        <v>23</v>
      </c>
      <c r="F212" t="s">
        <v>20</v>
      </c>
      <c r="G212" s="3">
        <v>672</v>
      </c>
      <c r="H212" s="3">
        <v>172</v>
      </c>
      <c r="I212" s="3">
        <v>115584</v>
      </c>
      <c r="J212" s="3">
        <v>14.98</v>
      </c>
    </row>
    <row r="213" spans="1:10" x14ac:dyDescent="0.25">
      <c r="A213" s="2">
        <v>45047</v>
      </c>
      <c r="B213">
        <v>2023</v>
      </c>
      <c r="C213" t="s">
        <v>29</v>
      </c>
      <c r="D213">
        <v>5</v>
      </c>
      <c r="E213" t="s">
        <v>23</v>
      </c>
      <c r="F213" t="s">
        <v>21</v>
      </c>
      <c r="G213" s="3">
        <v>557</v>
      </c>
      <c r="H213" s="3">
        <v>39.29</v>
      </c>
      <c r="I213" s="3">
        <v>21884.53</v>
      </c>
      <c r="J213" s="3">
        <v>2.9</v>
      </c>
    </row>
    <row r="214" spans="1:10" x14ac:dyDescent="0.25">
      <c r="A214" s="2">
        <v>45047</v>
      </c>
      <c r="B214">
        <v>2023</v>
      </c>
      <c r="C214" t="s">
        <v>29</v>
      </c>
      <c r="D214">
        <v>5</v>
      </c>
      <c r="E214" t="s">
        <v>23</v>
      </c>
      <c r="F214" t="s">
        <v>22</v>
      </c>
      <c r="G214" s="3">
        <v>788</v>
      </c>
      <c r="H214" s="3">
        <v>91.49</v>
      </c>
      <c r="I214" s="3">
        <v>72094.12</v>
      </c>
      <c r="J214" s="3">
        <v>-10.81</v>
      </c>
    </row>
    <row r="215" spans="1:10" x14ac:dyDescent="0.25">
      <c r="A215" s="2">
        <v>45047</v>
      </c>
      <c r="B215">
        <v>2023</v>
      </c>
      <c r="C215" t="s">
        <v>29</v>
      </c>
      <c r="D215">
        <v>5</v>
      </c>
      <c r="E215" t="s">
        <v>23</v>
      </c>
      <c r="F215" t="s">
        <v>25</v>
      </c>
      <c r="G215" s="3">
        <v>680</v>
      </c>
      <c r="H215" s="3">
        <v>87.91</v>
      </c>
      <c r="I215" s="3">
        <v>59778.8</v>
      </c>
      <c r="J215" s="3">
        <v>-14.2</v>
      </c>
    </row>
    <row r="216" spans="1:10" x14ac:dyDescent="0.25">
      <c r="A216" s="2">
        <v>45047</v>
      </c>
      <c r="B216">
        <v>2023</v>
      </c>
      <c r="C216" t="s">
        <v>29</v>
      </c>
      <c r="D216">
        <v>5</v>
      </c>
      <c r="E216" t="s">
        <v>23</v>
      </c>
      <c r="F216" t="s">
        <v>24</v>
      </c>
      <c r="G216" s="3">
        <v>105</v>
      </c>
      <c r="H216" s="3">
        <v>177.24</v>
      </c>
      <c r="I216" s="3">
        <v>18610.2</v>
      </c>
      <c r="J216" s="3">
        <v>21.83</v>
      </c>
    </row>
    <row r="217" spans="1:10" x14ac:dyDescent="0.25">
      <c r="A217" s="2">
        <v>45047</v>
      </c>
      <c r="B217">
        <v>2023</v>
      </c>
      <c r="C217" t="s">
        <v>29</v>
      </c>
      <c r="D217">
        <v>5</v>
      </c>
      <c r="E217" t="s">
        <v>13</v>
      </c>
      <c r="F217" t="s">
        <v>12</v>
      </c>
      <c r="G217" s="3">
        <v>557</v>
      </c>
      <c r="H217" s="3">
        <v>31.92</v>
      </c>
      <c r="I217" s="3">
        <v>17779.439999999999</v>
      </c>
      <c r="J217" s="3">
        <v>-13.17</v>
      </c>
    </row>
    <row r="218" spans="1:10" x14ac:dyDescent="0.25">
      <c r="A218" s="2">
        <v>45047</v>
      </c>
      <c r="B218">
        <v>2023</v>
      </c>
      <c r="C218" t="s">
        <v>29</v>
      </c>
      <c r="D218">
        <v>5</v>
      </c>
      <c r="E218" t="s">
        <v>11</v>
      </c>
      <c r="F218" t="s">
        <v>25</v>
      </c>
      <c r="G218" s="3">
        <v>83</v>
      </c>
      <c r="H218" s="3">
        <v>84.47</v>
      </c>
      <c r="I218" s="3">
        <v>7011.01</v>
      </c>
      <c r="J218" s="3">
        <v>-10.46</v>
      </c>
    </row>
    <row r="219" spans="1:10" x14ac:dyDescent="0.25">
      <c r="A219" s="2">
        <v>45047</v>
      </c>
      <c r="B219">
        <v>2023</v>
      </c>
      <c r="C219" t="s">
        <v>29</v>
      </c>
      <c r="D219">
        <v>5</v>
      </c>
      <c r="E219" t="s">
        <v>26</v>
      </c>
      <c r="F219" t="s">
        <v>22</v>
      </c>
      <c r="G219" s="3">
        <v>612</v>
      </c>
      <c r="H219" s="3">
        <v>145.58000000000001</v>
      </c>
      <c r="I219" s="3">
        <v>89094.96</v>
      </c>
      <c r="J219" s="3">
        <v>16.86</v>
      </c>
    </row>
    <row r="220" spans="1:10" x14ac:dyDescent="0.25">
      <c r="A220" s="2">
        <v>45047</v>
      </c>
      <c r="B220">
        <v>2023</v>
      </c>
      <c r="C220" t="s">
        <v>29</v>
      </c>
      <c r="D220">
        <v>5</v>
      </c>
      <c r="E220" t="s">
        <v>11</v>
      </c>
      <c r="F220" t="s">
        <v>12</v>
      </c>
      <c r="G220" s="3">
        <v>54</v>
      </c>
      <c r="H220" s="3">
        <v>24.75</v>
      </c>
      <c r="I220" s="3">
        <v>1336.5</v>
      </c>
      <c r="J220" s="3">
        <v>0.06</v>
      </c>
    </row>
    <row r="221" spans="1:10" x14ac:dyDescent="0.25">
      <c r="A221" s="2">
        <v>45047</v>
      </c>
      <c r="B221">
        <v>2023</v>
      </c>
      <c r="C221" t="s">
        <v>29</v>
      </c>
      <c r="D221">
        <v>5</v>
      </c>
      <c r="E221" t="s">
        <v>11</v>
      </c>
      <c r="F221" t="s">
        <v>24</v>
      </c>
      <c r="G221" s="3">
        <v>114</v>
      </c>
      <c r="H221" s="3">
        <v>106.47</v>
      </c>
      <c r="I221" s="3">
        <v>12137.58</v>
      </c>
      <c r="J221" s="3">
        <v>24.41</v>
      </c>
    </row>
    <row r="222" spans="1:10" x14ac:dyDescent="0.25">
      <c r="A222" s="2">
        <v>45047</v>
      </c>
      <c r="B222">
        <v>2023</v>
      </c>
      <c r="C222" t="s">
        <v>29</v>
      </c>
      <c r="D222">
        <v>5</v>
      </c>
      <c r="E222" t="s">
        <v>11</v>
      </c>
      <c r="F222" t="s">
        <v>14</v>
      </c>
      <c r="G222" s="3">
        <v>331</v>
      </c>
      <c r="H222" s="3">
        <v>88.56</v>
      </c>
      <c r="I222" s="3">
        <v>29313.360000000001</v>
      </c>
      <c r="J222" s="3">
        <v>23.8</v>
      </c>
    </row>
    <row r="223" spans="1:10" x14ac:dyDescent="0.25">
      <c r="A223" s="2">
        <v>45047</v>
      </c>
      <c r="B223">
        <v>2023</v>
      </c>
      <c r="C223" t="s">
        <v>29</v>
      </c>
      <c r="D223">
        <v>5</v>
      </c>
      <c r="E223" t="s">
        <v>11</v>
      </c>
      <c r="F223" t="s">
        <v>15</v>
      </c>
      <c r="G223" s="3">
        <v>738</v>
      </c>
      <c r="H223" s="3">
        <v>170.9</v>
      </c>
      <c r="I223" s="3">
        <v>126124.2</v>
      </c>
      <c r="J223" s="3">
        <v>3.75</v>
      </c>
    </row>
    <row r="224" spans="1:10" x14ac:dyDescent="0.25">
      <c r="A224" s="2">
        <v>45047</v>
      </c>
      <c r="B224">
        <v>2023</v>
      </c>
      <c r="C224" t="s">
        <v>29</v>
      </c>
      <c r="D224">
        <v>5</v>
      </c>
      <c r="E224" t="s">
        <v>11</v>
      </c>
      <c r="F224" t="s">
        <v>16</v>
      </c>
      <c r="G224" s="3">
        <v>148</v>
      </c>
      <c r="H224" s="3">
        <v>44.09</v>
      </c>
      <c r="I224" s="3">
        <v>6525.32</v>
      </c>
      <c r="J224" s="3">
        <v>-14.45</v>
      </c>
    </row>
    <row r="225" spans="1:10" x14ac:dyDescent="0.25">
      <c r="A225" s="2">
        <v>45047</v>
      </c>
      <c r="B225">
        <v>2023</v>
      </c>
      <c r="C225" t="s">
        <v>29</v>
      </c>
      <c r="D225">
        <v>5</v>
      </c>
      <c r="E225" t="s">
        <v>11</v>
      </c>
      <c r="F225" t="s">
        <v>17</v>
      </c>
      <c r="G225" s="3">
        <v>567</v>
      </c>
      <c r="H225" s="3">
        <v>144.51</v>
      </c>
      <c r="I225" s="3">
        <v>81937.17</v>
      </c>
      <c r="J225" s="3">
        <v>6.37</v>
      </c>
    </row>
    <row r="226" spans="1:10" x14ac:dyDescent="0.25">
      <c r="A226" s="2">
        <v>45047</v>
      </c>
      <c r="B226">
        <v>2023</v>
      </c>
      <c r="C226" t="s">
        <v>29</v>
      </c>
      <c r="D226">
        <v>5</v>
      </c>
      <c r="E226" t="s">
        <v>11</v>
      </c>
      <c r="F226" t="s">
        <v>18</v>
      </c>
      <c r="G226" s="3">
        <v>694</v>
      </c>
      <c r="H226" s="3">
        <v>199.39</v>
      </c>
      <c r="I226" s="3">
        <v>138376.66</v>
      </c>
      <c r="J226" s="3">
        <v>7.22</v>
      </c>
    </row>
    <row r="227" spans="1:10" x14ac:dyDescent="0.25">
      <c r="A227" s="2">
        <v>45047</v>
      </c>
      <c r="B227">
        <v>2023</v>
      </c>
      <c r="C227" t="s">
        <v>29</v>
      </c>
      <c r="D227">
        <v>5</v>
      </c>
      <c r="E227" t="s">
        <v>11</v>
      </c>
      <c r="F227" t="s">
        <v>19</v>
      </c>
      <c r="G227" s="3">
        <v>614</v>
      </c>
      <c r="H227" s="3">
        <v>190.06</v>
      </c>
      <c r="I227" s="3">
        <v>116696.84</v>
      </c>
      <c r="J227" s="3">
        <v>18.989999999999998</v>
      </c>
    </row>
    <row r="228" spans="1:10" x14ac:dyDescent="0.25">
      <c r="A228" s="2">
        <v>45047</v>
      </c>
      <c r="B228">
        <v>2023</v>
      </c>
      <c r="C228" t="s">
        <v>29</v>
      </c>
      <c r="D228">
        <v>5</v>
      </c>
      <c r="E228" t="s">
        <v>11</v>
      </c>
      <c r="F228" t="s">
        <v>20</v>
      </c>
      <c r="G228" s="3">
        <v>194</v>
      </c>
      <c r="H228" s="3">
        <v>63.4</v>
      </c>
      <c r="I228" s="3">
        <v>12299.6</v>
      </c>
      <c r="J228" s="3">
        <v>-6.8</v>
      </c>
    </row>
    <row r="229" spans="1:10" x14ac:dyDescent="0.25">
      <c r="A229" s="2">
        <v>45047</v>
      </c>
      <c r="B229">
        <v>2023</v>
      </c>
      <c r="C229" t="s">
        <v>29</v>
      </c>
      <c r="D229">
        <v>5</v>
      </c>
      <c r="E229" t="s">
        <v>11</v>
      </c>
      <c r="F229" t="s">
        <v>21</v>
      </c>
      <c r="G229" s="3">
        <v>50</v>
      </c>
      <c r="H229" s="3">
        <v>191.73</v>
      </c>
      <c r="I229" s="3">
        <v>9586.5</v>
      </c>
      <c r="J229" s="3">
        <v>9.25</v>
      </c>
    </row>
    <row r="230" spans="1:10" x14ac:dyDescent="0.25">
      <c r="A230" s="2">
        <v>45047</v>
      </c>
      <c r="B230">
        <v>2023</v>
      </c>
      <c r="C230" t="s">
        <v>29</v>
      </c>
      <c r="D230">
        <v>5</v>
      </c>
      <c r="E230" t="s">
        <v>11</v>
      </c>
      <c r="F230" t="s">
        <v>22</v>
      </c>
      <c r="G230" s="3">
        <v>495</v>
      </c>
      <c r="H230" s="3">
        <v>178.08</v>
      </c>
      <c r="I230" s="3">
        <v>88149.6</v>
      </c>
      <c r="J230" s="3">
        <v>15.28</v>
      </c>
    </row>
    <row r="231" spans="1:10" x14ac:dyDescent="0.25">
      <c r="A231" s="2">
        <v>45047</v>
      </c>
      <c r="B231">
        <v>2023</v>
      </c>
      <c r="C231" t="s">
        <v>29</v>
      </c>
      <c r="D231">
        <v>5</v>
      </c>
      <c r="E231" t="s">
        <v>26</v>
      </c>
      <c r="F231" t="s">
        <v>25</v>
      </c>
      <c r="G231" s="3">
        <v>187</v>
      </c>
      <c r="H231" s="3">
        <v>186.79</v>
      </c>
      <c r="I231" s="3">
        <v>34929.730000000003</v>
      </c>
      <c r="J231" s="3">
        <v>4.68</v>
      </c>
    </row>
    <row r="232" spans="1:10" x14ac:dyDescent="0.25">
      <c r="A232" s="2">
        <v>45047</v>
      </c>
      <c r="B232">
        <v>2023</v>
      </c>
      <c r="C232" t="s">
        <v>29</v>
      </c>
      <c r="D232">
        <v>5</v>
      </c>
      <c r="E232" t="s">
        <v>26</v>
      </c>
      <c r="F232" t="s">
        <v>12</v>
      </c>
      <c r="G232" s="3">
        <v>203</v>
      </c>
      <c r="H232" s="3">
        <v>109.67</v>
      </c>
      <c r="I232" s="3">
        <v>22263.01</v>
      </c>
      <c r="J232" s="3">
        <v>4.05</v>
      </c>
    </row>
    <row r="233" spans="1:10" x14ac:dyDescent="0.25">
      <c r="A233" s="2">
        <v>45047</v>
      </c>
      <c r="B233">
        <v>2023</v>
      </c>
      <c r="C233" t="s">
        <v>29</v>
      </c>
      <c r="D233">
        <v>5</v>
      </c>
      <c r="E233" t="s">
        <v>26</v>
      </c>
      <c r="F233" t="s">
        <v>20</v>
      </c>
      <c r="G233" s="3">
        <v>357</v>
      </c>
      <c r="H233" s="3">
        <v>118.54</v>
      </c>
      <c r="I233" s="3">
        <v>42318.78</v>
      </c>
      <c r="J233" s="3">
        <v>3.04</v>
      </c>
    </row>
    <row r="234" spans="1:10" x14ac:dyDescent="0.25">
      <c r="A234" s="2">
        <v>45047</v>
      </c>
      <c r="B234">
        <v>2023</v>
      </c>
      <c r="C234" t="s">
        <v>29</v>
      </c>
      <c r="D234">
        <v>5</v>
      </c>
      <c r="E234" t="s">
        <v>26</v>
      </c>
      <c r="F234" t="s">
        <v>19</v>
      </c>
      <c r="G234" s="3">
        <v>384</v>
      </c>
      <c r="H234" s="3">
        <v>98.75</v>
      </c>
      <c r="I234" s="3">
        <v>37920</v>
      </c>
      <c r="J234" s="3">
        <v>21.17</v>
      </c>
    </row>
    <row r="235" spans="1:10" x14ac:dyDescent="0.25">
      <c r="A235" s="2">
        <v>45047</v>
      </c>
      <c r="B235">
        <v>2023</v>
      </c>
      <c r="C235" t="s">
        <v>29</v>
      </c>
      <c r="D235">
        <v>5</v>
      </c>
      <c r="E235" t="s">
        <v>26</v>
      </c>
      <c r="F235" t="s">
        <v>18</v>
      </c>
      <c r="G235" s="3">
        <v>787</v>
      </c>
      <c r="H235" s="3">
        <v>83.11</v>
      </c>
      <c r="I235" s="3">
        <v>65407.57</v>
      </c>
      <c r="J235" s="3">
        <v>8.6</v>
      </c>
    </row>
    <row r="236" spans="1:10" x14ac:dyDescent="0.25">
      <c r="A236" s="2">
        <v>45047</v>
      </c>
      <c r="B236">
        <v>2023</v>
      </c>
      <c r="C236" t="s">
        <v>29</v>
      </c>
      <c r="D236">
        <v>5</v>
      </c>
      <c r="E236" t="s">
        <v>26</v>
      </c>
      <c r="F236" t="s">
        <v>17</v>
      </c>
      <c r="G236" s="3">
        <v>124</v>
      </c>
      <c r="H236" s="3">
        <v>58.33</v>
      </c>
      <c r="I236" s="3">
        <v>7232.92</v>
      </c>
      <c r="J236" s="3">
        <v>-9.5500000000000007</v>
      </c>
    </row>
    <row r="237" spans="1:10" x14ac:dyDescent="0.25">
      <c r="A237" s="2">
        <v>45047</v>
      </c>
      <c r="B237">
        <v>2023</v>
      </c>
      <c r="C237" t="s">
        <v>29</v>
      </c>
      <c r="D237">
        <v>5</v>
      </c>
      <c r="E237" t="s">
        <v>26</v>
      </c>
      <c r="F237" t="s">
        <v>21</v>
      </c>
      <c r="G237" s="3">
        <v>384</v>
      </c>
      <c r="H237" s="3">
        <v>91.38</v>
      </c>
      <c r="I237" s="3">
        <v>35089.919999999998</v>
      </c>
      <c r="J237" s="3">
        <v>9.8800000000000008</v>
      </c>
    </row>
    <row r="238" spans="1:10" x14ac:dyDescent="0.25">
      <c r="A238" s="2">
        <v>45047</v>
      </c>
      <c r="B238">
        <v>2023</v>
      </c>
      <c r="C238" t="s">
        <v>29</v>
      </c>
      <c r="D238">
        <v>5</v>
      </c>
      <c r="E238" t="s">
        <v>26</v>
      </c>
      <c r="F238" t="s">
        <v>15</v>
      </c>
      <c r="G238" s="3">
        <v>450</v>
      </c>
      <c r="H238" s="3">
        <v>44.12</v>
      </c>
      <c r="I238" s="3">
        <v>19854</v>
      </c>
      <c r="J238" s="3">
        <v>-13.85</v>
      </c>
    </row>
    <row r="239" spans="1:10" x14ac:dyDescent="0.25">
      <c r="A239" s="2">
        <v>45047</v>
      </c>
      <c r="B239">
        <v>2023</v>
      </c>
      <c r="C239" t="s">
        <v>29</v>
      </c>
      <c r="D239">
        <v>5</v>
      </c>
      <c r="E239" t="s">
        <v>26</v>
      </c>
      <c r="F239" t="s">
        <v>14</v>
      </c>
      <c r="G239" s="3">
        <v>438</v>
      </c>
      <c r="H239" s="3">
        <v>35.909999999999997</v>
      </c>
      <c r="I239" s="3">
        <v>15728.58</v>
      </c>
      <c r="J239" s="3">
        <v>16.670000000000002</v>
      </c>
    </row>
    <row r="240" spans="1:10" x14ac:dyDescent="0.25">
      <c r="A240" s="2">
        <v>45047</v>
      </c>
      <c r="B240">
        <v>2023</v>
      </c>
      <c r="C240" t="s">
        <v>29</v>
      </c>
      <c r="D240">
        <v>5</v>
      </c>
      <c r="E240" t="s">
        <v>26</v>
      </c>
      <c r="F240" t="s">
        <v>24</v>
      </c>
      <c r="G240" s="3">
        <v>355</v>
      </c>
      <c r="H240" s="3">
        <v>173.39</v>
      </c>
      <c r="I240" s="3">
        <v>61553.45</v>
      </c>
      <c r="J240" s="3">
        <v>7.08</v>
      </c>
    </row>
    <row r="241" spans="1:10" x14ac:dyDescent="0.25">
      <c r="A241" s="2">
        <v>45047</v>
      </c>
      <c r="B241">
        <v>2023</v>
      </c>
      <c r="C241" t="s">
        <v>29</v>
      </c>
      <c r="D241">
        <v>5</v>
      </c>
      <c r="E241" t="s">
        <v>26</v>
      </c>
      <c r="F241" t="s">
        <v>16</v>
      </c>
      <c r="G241" s="3">
        <v>256</v>
      </c>
      <c r="H241" s="3">
        <v>161.24</v>
      </c>
      <c r="I241" s="3">
        <v>41277.440000000002</v>
      </c>
      <c r="J241" s="3">
        <v>10.57</v>
      </c>
    </row>
    <row r="242" spans="1:10" x14ac:dyDescent="0.25">
      <c r="A242" s="2">
        <v>45077</v>
      </c>
      <c r="B242">
        <v>2023</v>
      </c>
      <c r="C242" t="s">
        <v>29</v>
      </c>
      <c r="D242">
        <v>5</v>
      </c>
      <c r="E242" t="s">
        <v>13</v>
      </c>
      <c r="F242" t="s">
        <v>25</v>
      </c>
      <c r="G242" s="3">
        <v>344</v>
      </c>
      <c r="H242" s="3">
        <v>148.47999999999999</v>
      </c>
      <c r="I242" s="3">
        <v>51077.120000000003</v>
      </c>
      <c r="J242" s="3">
        <v>20.99</v>
      </c>
    </row>
    <row r="243" spans="1:10" x14ac:dyDescent="0.25">
      <c r="A243" s="2">
        <v>45077</v>
      </c>
      <c r="B243">
        <v>2023</v>
      </c>
      <c r="C243" t="s">
        <v>29</v>
      </c>
      <c r="D243">
        <v>5</v>
      </c>
      <c r="E243" t="s">
        <v>13</v>
      </c>
      <c r="F243" t="s">
        <v>14</v>
      </c>
      <c r="G243" s="3">
        <v>599</v>
      </c>
      <c r="H243" s="3">
        <v>94.13</v>
      </c>
      <c r="I243" s="3">
        <v>56383.87</v>
      </c>
      <c r="J243" s="3">
        <v>-1.05</v>
      </c>
    </row>
    <row r="244" spans="1:10" x14ac:dyDescent="0.25">
      <c r="A244" s="2">
        <v>45077</v>
      </c>
      <c r="B244">
        <v>2023</v>
      </c>
      <c r="C244" t="s">
        <v>29</v>
      </c>
      <c r="D244">
        <v>5</v>
      </c>
      <c r="E244" t="s">
        <v>13</v>
      </c>
      <c r="F244" t="s">
        <v>15</v>
      </c>
      <c r="G244" s="3">
        <v>630</v>
      </c>
      <c r="H244" s="3">
        <v>169.51</v>
      </c>
      <c r="I244" s="3">
        <v>106791.3</v>
      </c>
      <c r="J244" s="3">
        <v>23.6</v>
      </c>
    </row>
    <row r="245" spans="1:10" x14ac:dyDescent="0.25">
      <c r="A245" s="2">
        <v>45077</v>
      </c>
      <c r="B245">
        <v>2023</v>
      </c>
      <c r="C245" t="s">
        <v>29</v>
      </c>
      <c r="D245">
        <v>5</v>
      </c>
      <c r="E245" t="s">
        <v>13</v>
      </c>
      <c r="F245" t="s">
        <v>16</v>
      </c>
      <c r="G245" s="3">
        <v>383</v>
      </c>
      <c r="H245" s="3">
        <v>187.93</v>
      </c>
      <c r="I245" s="3">
        <v>71977.19</v>
      </c>
      <c r="J245" s="3">
        <v>24.64</v>
      </c>
    </row>
    <row r="246" spans="1:10" x14ac:dyDescent="0.25">
      <c r="A246" s="2">
        <v>45077</v>
      </c>
      <c r="B246">
        <v>2023</v>
      </c>
      <c r="C246" t="s">
        <v>29</v>
      </c>
      <c r="D246">
        <v>5</v>
      </c>
      <c r="E246" t="s">
        <v>13</v>
      </c>
      <c r="F246" t="s">
        <v>17</v>
      </c>
      <c r="G246" s="3">
        <v>637</v>
      </c>
      <c r="H246" s="3">
        <v>88.26</v>
      </c>
      <c r="I246" s="3">
        <v>56221.62</v>
      </c>
      <c r="J246" s="3">
        <v>22.06</v>
      </c>
    </row>
    <row r="247" spans="1:10" x14ac:dyDescent="0.25">
      <c r="A247" s="2">
        <v>45077</v>
      </c>
      <c r="B247">
        <v>2023</v>
      </c>
      <c r="C247" t="s">
        <v>29</v>
      </c>
      <c r="D247">
        <v>5</v>
      </c>
      <c r="E247" t="s">
        <v>13</v>
      </c>
      <c r="F247" t="s">
        <v>19</v>
      </c>
      <c r="G247" s="3">
        <v>278</v>
      </c>
      <c r="H247" s="3">
        <v>56.29</v>
      </c>
      <c r="I247" s="3">
        <v>15648.62</v>
      </c>
      <c r="J247" s="3">
        <v>-8.4499999999999993</v>
      </c>
    </row>
    <row r="248" spans="1:10" x14ac:dyDescent="0.25">
      <c r="A248" s="2">
        <v>45077</v>
      </c>
      <c r="B248">
        <v>2023</v>
      </c>
      <c r="C248" t="s">
        <v>29</v>
      </c>
      <c r="D248">
        <v>5</v>
      </c>
      <c r="E248" t="s">
        <v>13</v>
      </c>
      <c r="F248" t="s">
        <v>20</v>
      </c>
      <c r="G248" s="3">
        <v>774</v>
      </c>
      <c r="H248" s="3">
        <v>53.55</v>
      </c>
      <c r="I248" s="3">
        <v>41447.699999999997</v>
      </c>
      <c r="J248" s="3">
        <v>-5.57</v>
      </c>
    </row>
    <row r="249" spans="1:10" x14ac:dyDescent="0.25">
      <c r="A249" s="2">
        <v>45077</v>
      </c>
      <c r="B249">
        <v>2023</v>
      </c>
      <c r="C249" t="s">
        <v>29</v>
      </c>
      <c r="D249">
        <v>5</v>
      </c>
      <c r="E249" t="s">
        <v>13</v>
      </c>
      <c r="F249" t="s">
        <v>21</v>
      </c>
      <c r="G249" s="3">
        <v>127</v>
      </c>
      <c r="H249" s="3">
        <v>114.15</v>
      </c>
      <c r="I249" s="3">
        <v>14497.05</v>
      </c>
      <c r="J249" s="3">
        <v>-0.65</v>
      </c>
    </row>
    <row r="250" spans="1:10" x14ac:dyDescent="0.25">
      <c r="A250" s="2">
        <v>45077</v>
      </c>
      <c r="B250">
        <v>2023</v>
      </c>
      <c r="C250" t="s">
        <v>29</v>
      </c>
      <c r="D250">
        <v>5</v>
      </c>
      <c r="E250" t="s">
        <v>13</v>
      </c>
      <c r="F250" t="s">
        <v>22</v>
      </c>
      <c r="G250" s="3">
        <v>798</v>
      </c>
      <c r="H250" s="3">
        <v>125.9</v>
      </c>
      <c r="I250" s="3">
        <v>100468.2</v>
      </c>
      <c r="J250" s="3">
        <v>12.32</v>
      </c>
    </row>
    <row r="251" spans="1:10" x14ac:dyDescent="0.25">
      <c r="A251" s="2">
        <v>45077</v>
      </c>
      <c r="B251">
        <v>2023</v>
      </c>
      <c r="C251" t="s">
        <v>29</v>
      </c>
      <c r="D251">
        <v>5</v>
      </c>
      <c r="E251" t="s">
        <v>23</v>
      </c>
      <c r="F251" t="s">
        <v>12</v>
      </c>
      <c r="G251" s="3">
        <v>686</v>
      </c>
      <c r="H251" s="3">
        <v>74.25</v>
      </c>
      <c r="I251" s="3">
        <v>50935.5</v>
      </c>
      <c r="J251" s="3">
        <v>14.9</v>
      </c>
    </row>
    <row r="252" spans="1:10" x14ac:dyDescent="0.25">
      <c r="A252" s="2">
        <v>45077</v>
      </c>
      <c r="B252">
        <v>2023</v>
      </c>
      <c r="C252" t="s">
        <v>29</v>
      </c>
      <c r="D252">
        <v>5</v>
      </c>
      <c r="E252" t="s">
        <v>23</v>
      </c>
      <c r="F252" t="s">
        <v>17</v>
      </c>
      <c r="G252" s="3">
        <v>603</v>
      </c>
      <c r="H252" s="3">
        <v>45.07</v>
      </c>
      <c r="I252" s="3">
        <v>27177.21</v>
      </c>
      <c r="J252" s="3">
        <v>16.760000000000002</v>
      </c>
    </row>
    <row r="253" spans="1:10" x14ac:dyDescent="0.25">
      <c r="A253" s="2">
        <v>45077</v>
      </c>
      <c r="B253">
        <v>2023</v>
      </c>
      <c r="C253" t="s">
        <v>29</v>
      </c>
      <c r="D253">
        <v>5</v>
      </c>
      <c r="E253" t="s">
        <v>23</v>
      </c>
      <c r="F253" t="s">
        <v>14</v>
      </c>
      <c r="G253" s="3">
        <v>552</v>
      </c>
      <c r="H253" s="3">
        <v>115.73</v>
      </c>
      <c r="I253" s="3">
        <v>63882.96</v>
      </c>
      <c r="J253" s="3">
        <v>-12.34</v>
      </c>
    </row>
    <row r="254" spans="1:10" x14ac:dyDescent="0.25">
      <c r="A254" s="2">
        <v>45077</v>
      </c>
      <c r="B254">
        <v>2023</v>
      </c>
      <c r="C254" t="s">
        <v>29</v>
      </c>
      <c r="D254">
        <v>5</v>
      </c>
      <c r="E254" t="s">
        <v>23</v>
      </c>
      <c r="F254" t="s">
        <v>15</v>
      </c>
      <c r="G254" s="3">
        <v>153</v>
      </c>
      <c r="H254" s="3">
        <v>132.36000000000001</v>
      </c>
      <c r="I254" s="3">
        <v>20251.080000000002</v>
      </c>
      <c r="J254" s="3">
        <v>-10.32</v>
      </c>
    </row>
    <row r="255" spans="1:10" x14ac:dyDescent="0.25">
      <c r="A255" s="2">
        <v>45077</v>
      </c>
      <c r="B255">
        <v>2023</v>
      </c>
      <c r="C255" t="s">
        <v>29</v>
      </c>
      <c r="D255">
        <v>5</v>
      </c>
      <c r="E255" t="s">
        <v>23</v>
      </c>
      <c r="F255" t="s">
        <v>16</v>
      </c>
      <c r="G255" s="3">
        <v>695</v>
      </c>
      <c r="H255" s="3">
        <v>79.91</v>
      </c>
      <c r="I255" s="3">
        <v>55537.45</v>
      </c>
      <c r="J255" s="3">
        <v>14.22</v>
      </c>
    </row>
    <row r="256" spans="1:10" x14ac:dyDescent="0.25">
      <c r="A256" s="2">
        <v>45077</v>
      </c>
      <c r="B256">
        <v>2023</v>
      </c>
      <c r="C256" t="s">
        <v>29</v>
      </c>
      <c r="D256">
        <v>5</v>
      </c>
      <c r="E256" t="s">
        <v>13</v>
      </c>
      <c r="F256" t="s">
        <v>24</v>
      </c>
      <c r="G256" s="3">
        <v>368</v>
      </c>
      <c r="H256" s="3">
        <v>142.66999999999999</v>
      </c>
      <c r="I256" s="3">
        <v>52502.559999999998</v>
      </c>
      <c r="J256" s="3">
        <v>15.41</v>
      </c>
    </row>
    <row r="257" spans="1:10" x14ac:dyDescent="0.25">
      <c r="A257" s="2">
        <v>45077</v>
      </c>
      <c r="B257">
        <v>2023</v>
      </c>
      <c r="C257" t="s">
        <v>29</v>
      </c>
      <c r="D257">
        <v>5</v>
      </c>
      <c r="E257" t="s">
        <v>23</v>
      </c>
      <c r="F257" t="s">
        <v>18</v>
      </c>
      <c r="G257" s="3">
        <v>718</v>
      </c>
      <c r="H257" s="3">
        <v>109.18</v>
      </c>
      <c r="I257" s="3">
        <v>78391.240000000005</v>
      </c>
      <c r="J257" s="3">
        <v>14.66</v>
      </c>
    </row>
    <row r="258" spans="1:10" x14ac:dyDescent="0.25">
      <c r="A258" s="2">
        <v>45077</v>
      </c>
      <c r="B258">
        <v>2023</v>
      </c>
      <c r="C258" t="s">
        <v>29</v>
      </c>
      <c r="D258">
        <v>5</v>
      </c>
      <c r="E258" t="s">
        <v>23</v>
      </c>
      <c r="F258" t="s">
        <v>19</v>
      </c>
      <c r="G258" s="3">
        <v>469</v>
      </c>
      <c r="H258" s="3">
        <v>199.58</v>
      </c>
      <c r="I258" s="3">
        <v>93603.02</v>
      </c>
      <c r="J258" s="3">
        <v>15.1</v>
      </c>
    </row>
    <row r="259" spans="1:10" x14ac:dyDescent="0.25">
      <c r="A259" s="2">
        <v>45077</v>
      </c>
      <c r="B259">
        <v>2023</v>
      </c>
      <c r="C259" t="s">
        <v>29</v>
      </c>
      <c r="D259">
        <v>5</v>
      </c>
      <c r="E259" t="s">
        <v>23</v>
      </c>
      <c r="F259" t="s">
        <v>20</v>
      </c>
      <c r="G259" s="3">
        <v>460</v>
      </c>
      <c r="H259" s="3">
        <v>153.91</v>
      </c>
      <c r="I259" s="3">
        <v>70798.600000000006</v>
      </c>
      <c r="J259" s="3">
        <v>-13.66</v>
      </c>
    </row>
    <row r="260" spans="1:10" x14ac:dyDescent="0.25">
      <c r="A260" s="2">
        <v>45077</v>
      </c>
      <c r="B260">
        <v>2023</v>
      </c>
      <c r="C260" t="s">
        <v>29</v>
      </c>
      <c r="D260">
        <v>5</v>
      </c>
      <c r="E260" t="s">
        <v>23</v>
      </c>
      <c r="F260" t="s">
        <v>21</v>
      </c>
      <c r="G260" s="3">
        <v>647</v>
      </c>
      <c r="H260" s="3">
        <v>148.53</v>
      </c>
      <c r="I260" s="3">
        <v>96098.91</v>
      </c>
      <c r="J260" s="3">
        <v>4.76</v>
      </c>
    </row>
    <row r="261" spans="1:10" x14ac:dyDescent="0.25">
      <c r="A261" s="2">
        <v>45077</v>
      </c>
      <c r="B261">
        <v>2023</v>
      </c>
      <c r="C261" t="s">
        <v>29</v>
      </c>
      <c r="D261">
        <v>5</v>
      </c>
      <c r="E261" t="s">
        <v>23</v>
      </c>
      <c r="F261" t="s">
        <v>22</v>
      </c>
      <c r="G261" s="3">
        <v>167</v>
      </c>
      <c r="H261" s="3">
        <v>167.83</v>
      </c>
      <c r="I261" s="3">
        <v>28027.61</v>
      </c>
      <c r="J261" s="3">
        <v>-10.57</v>
      </c>
    </row>
    <row r="262" spans="1:10" x14ac:dyDescent="0.25">
      <c r="A262" s="2">
        <v>45077</v>
      </c>
      <c r="B262">
        <v>2023</v>
      </c>
      <c r="C262" t="s">
        <v>29</v>
      </c>
      <c r="D262">
        <v>5</v>
      </c>
      <c r="E262" t="s">
        <v>23</v>
      </c>
      <c r="F262" t="s">
        <v>25</v>
      </c>
      <c r="G262" s="3">
        <v>277</v>
      </c>
      <c r="H262" s="3">
        <v>102.26</v>
      </c>
      <c r="I262" s="3">
        <v>28326.02</v>
      </c>
      <c r="J262" s="3">
        <v>9.16</v>
      </c>
    </row>
    <row r="263" spans="1:10" x14ac:dyDescent="0.25">
      <c r="A263" s="2">
        <v>45077</v>
      </c>
      <c r="B263">
        <v>2023</v>
      </c>
      <c r="C263" t="s">
        <v>29</v>
      </c>
      <c r="D263">
        <v>5</v>
      </c>
      <c r="E263" t="s">
        <v>23</v>
      </c>
      <c r="F263" t="s">
        <v>24</v>
      </c>
      <c r="G263" s="3">
        <v>192</v>
      </c>
      <c r="H263" s="3">
        <v>123.95</v>
      </c>
      <c r="I263" s="3">
        <v>23798.400000000001</v>
      </c>
      <c r="J263" s="3">
        <v>-0.79</v>
      </c>
    </row>
    <row r="264" spans="1:10" x14ac:dyDescent="0.25">
      <c r="A264" s="2">
        <v>45077</v>
      </c>
      <c r="B264">
        <v>2023</v>
      </c>
      <c r="C264" t="s">
        <v>29</v>
      </c>
      <c r="D264">
        <v>5</v>
      </c>
      <c r="E264" t="s">
        <v>26</v>
      </c>
      <c r="F264" t="s">
        <v>25</v>
      </c>
      <c r="G264" s="3">
        <v>59</v>
      </c>
      <c r="H264" s="3">
        <v>118.75</v>
      </c>
      <c r="I264" s="3">
        <v>7006.25</v>
      </c>
      <c r="J264" s="3">
        <v>6.96</v>
      </c>
    </row>
    <row r="265" spans="1:10" x14ac:dyDescent="0.25">
      <c r="A265" s="2">
        <v>45077</v>
      </c>
      <c r="B265">
        <v>2023</v>
      </c>
      <c r="C265" t="s">
        <v>29</v>
      </c>
      <c r="D265">
        <v>5</v>
      </c>
      <c r="E265" t="s">
        <v>13</v>
      </c>
      <c r="F265" t="s">
        <v>18</v>
      </c>
      <c r="G265" s="3">
        <v>369</v>
      </c>
      <c r="H265" s="3">
        <v>123.41</v>
      </c>
      <c r="I265" s="3">
        <v>45538.29</v>
      </c>
      <c r="J265" s="3">
        <v>18.670000000000002</v>
      </c>
    </row>
    <row r="266" spans="1:10" x14ac:dyDescent="0.25">
      <c r="A266" s="2">
        <v>45077</v>
      </c>
      <c r="B266">
        <v>2023</v>
      </c>
      <c r="C266" t="s">
        <v>29</v>
      </c>
      <c r="D266">
        <v>5</v>
      </c>
      <c r="E266" t="s">
        <v>11</v>
      </c>
      <c r="F266" t="s">
        <v>12</v>
      </c>
      <c r="G266" s="3">
        <v>322</v>
      </c>
      <c r="H266" s="3">
        <v>58.06</v>
      </c>
      <c r="I266" s="3">
        <v>18695.32</v>
      </c>
      <c r="J266" s="3">
        <v>-1.9</v>
      </c>
    </row>
    <row r="267" spans="1:10" x14ac:dyDescent="0.25">
      <c r="A267" s="2">
        <v>45077</v>
      </c>
      <c r="B267">
        <v>2023</v>
      </c>
      <c r="C267" t="s">
        <v>29</v>
      </c>
      <c r="D267">
        <v>5</v>
      </c>
      <c r="E267" t="s">
        <v>26</v>
      </c>
      <c r="F267" t="s">
        <v>22</v>
      </c>
      <c r="G267" s="3">
        <v>308</v>
      </c>
      <c r="H267" s="3">
        <v>29.33</v>
      </c>
      <c r="I267" s="3">
        <v>9033.64</v>
      </c>
      <c r="J267" s="3">
        <v>-1.54</v>
      </c>
    </row>
    <row r="268" spans="1:10" x14ac:dyDescent="0.25">
      <c r="A268" s="2">
        <v>45077</v>
      </c>
      <c r="B268">
        <v>2023</v>
      </c>
      <c r="C268" t="s">
        <v>29</v>
      </c>
      <c r="D268">
        <v>5</v>
      </c>
      <c r="E268" t="s">
        <v>11</v>
      </c>
      <c r="F268" t="s">
        <v>24</v>
      </c>
      <c r="G268" s="3">
        <v>586</v>
      </c>
      <c r="H268" s="3">
        <v>180.29</v>
      </c>
      <c r="I268" s="3">
        <v>105649.94</v>
      </c>
      <c r="J268" s="3">
        <v>8.74</v>
      </c>
    </row>
    <row r="269" spans="1:10" x14ac:dyDescent="0.25">
      <c r="A269" s="2">
        <v>45077</v>
      </c>
      <c r="B269">
        <v>2023</v>
      </c>
      <c r="C269" t="s">
        <v>29</v>
      </c>
      <c r="D269">
        <v>5</v>
      </c>
      <c r="E269" t="s">
        <v>11</v>
      </c>
      <c r="F269" t="s">
        <v>14</v>
      </c>
      <c r="G269" s="3">
        <v>629</v>
      </c>
      <c r="H269" s="3">
        <v>83.92</v>
      </c>
      <c r="I269" s="3">
        <v>52785.68</v>
      </c>
      <c r="J269" s="3">
        <v>10.95</v>
      </c>
    </row>
    <row r="270" spans="1:10" x14ac:dyDescent="0.25">
      <c r="A270" s="2">
        <v>45077</v>
      </c>
      <c r="B270">
        <v>2023</v>
      </c>
      <c r="C270" t="s">
        <v>29</v>
      </c>
      <c r="D270">
        <v>5</v>
      </c>
      <c r="E270" t="s">
        <v>11</v>
      </c>
      <c r="F270" t="s">
        <v>15</v>
      </c>
      <c r="G270" s="3">
        <v>195</v>
      </c>
      <c r="H270" s="3">
        <v>35.65</v>
      </c>
      <c r="I270" s="3">
        <v>6951.75</v>
      </c>
      <c r="J270" s="3">
        <v>6.48</v>
      </c>
    </row>
    <row r="271" spans="1:10" x14ac:dyDescent="0.25">
      <c r="A271" s="2">
        <v>45077</v>
      </c>
      <c r="B271">
        <v>2023</v>
      </c>
      <c r="C271" t="s">
        <v>29</v>
      </c>
      <c r="D271">
        <v>5</v>
      </c>
      <c r="E271" t="s">
        <v>11</v>
      </c>
      <c r="F271" t="s">
        <v>16</v>
      </c>
      <c r="G271" s="3">
        <v>83</v>
      </c>
      <c r="H271" s="3">
        <v>120.39</v>
      </c>
      <c r="I271" s="3">
        <v>9992.3700000000008</v>
      </c>
      <c r="J271" s="3">
        <v>8.4600000000000009</v>
      </c>
    </row>
    <row r="272" spans="1:10" x14ac:dyDescent="0.25">
      <c r="A272" s="2">
        <v>45077</v>
      </c>
      <c r="B272">
        <v>2023</v>
      </c>
      <c r="C272" t="s">
        <v>29</v>
      </c>
      <c r="D272">
        <v>5</v>
      </c>
      <c r="E272" t="s">
        <v>11</v>
      </c>
      <c r="F272" t="s">
        <v>17</v>
      </c>
      <c r="G272" s="3">
        <v>797</v>
      </c>
      <c r="H272" s="3">
        <v>42.96</v>
      </c>
      <c r="I272" s="3">
        <v>34239.120000000003</v>
      </c>
      <c r="J272" s="3">
        <v>-3.65</v>
      </c>
    </row>
    <row r="273" spans="1:10" x14ac:dyDescent="0.25">
      <c r="A273" s="2">
        <v>45077</v>
      </c>
      <c r="B273">
        <v>2023</v>
      </c>
      <c r="C273" t="s">
        <v>29</v>
      </c>
      <c r="D273">
        <v>5</v>
      </c>
      <c r="E273" t="s">
        <v>11</v>
      </c>
      <c r="F273" t="s">
        <v>18</v>
      </c>
      <c r="G273" s="3">
        <v>567</v>
      </c>
      <c r="H273" s="3">
        <v>181.94</v>
      </c>
      <c r="I273" s="3">
        <v>103159.98</v>
      </c>
      <c r="J273" s="3">
        <v>9.3000000000000007</v>
      </c>
    </row>
    <row r="274" spans="1:10" x14ac:dyDescent="0.25">
      <c r="A274" s="2">
        <v>45077</v>
      </c>
      <c r="B274">
        <v>2023</v>
      </c>
      <c r="C274" t="s">
        <v>29</v>
      </c>
      <c r="D274">
        <v>5</v>
      </c>
      <c r="E274" t="s">
        <v>11</v>
      </c>
      <c r="F274" t="s">
        <v>19</v>
      </c>
      <c r="G274" s="3">
        <v>492</v>
      </c>
      <c r="H274" s="3">
        <v>84.1</v>
      </c>
      <c r="I274" s="3">
        <v>41377.199999999997</v>
      </c>
      <c r="J274" s="3">
        <v>24.46</v>
      </c>
    </row>
    <row r="275" spans="1:10" x14ac:dyDescent="0.25">
      <c r="A275" s="2">
        <v>45077</v>
      </c>
      <c r="B275">
        <v>2023</v>
      </c>
      <c r="C275" t="s">
        <v>29</v>
      </c>
      <c r="D275">
        <v>5</v>
      </c>
      <c r="E275" t="s">
        <v>11</v>
      </c>
      <c r="F275" t="s">
        <v>20</v>
      </c>
      <c r="G275" s="3">
        <v>790</v>
      </c>
      <c r="H275" s="3">
        <v>188.06</v>
      </c>
      <c r="I275" s="3">
        <v>148567.4</v>
      </c>
      <c r="J275" s="3">
        <v>-14.7</v>
      </c>
    </row>
    <row r="276" spans="1:10" x14ac:dyDescent="0.25">
      <c r="A276" s="2">
        <v>45077</v>
      </c>
      <c r="B276">
        <v>2023</v>
      </c>
      <c r="C276" t="s">
        <v>29</v>
      </c>
      <c r="D276">
        <v>5</v>
      </c>
      <c r="E276" t="s">
        <v>11</v>
      </c>
      <c r="F276" t="s">
        <v>21</v>
      </c>
      <c r="G276" s="3">
        <v>326</v>
      </c>
      <c r="H276" s="3">
        <v>47.51</v>
      </c>
      <c r="I276" s="3">
        <v>15488.26</v>
      </c>
      <c r="J276" s="3">
        <v>-5.16</v>
      </c>
    </row>
    <row r="277" spans="1:10" x14ac:dyDescent="0.25">
      <c r="A277" s="2">
        <v>45077</v>
      </c>
      <c r="B277">
        <v>2023</v>
      </c>
      <c r="C277" t="s">
        <v>29</v>
      </c>
      <c r="D277">
        <v>5</v>
      </c>
      <c r="E277" t="s">
        <v>11</v>
      </c>
      <c r="F277" t="s">
        <v>22</v>
      </c>
      <c r="G277" s="3">
        <v>565</v>
      </c>
      <c r="H277" s="3">
        <v>173.15</v>
      </c>
      <c r="I277" s="3">
        <v>97829.75</v>
      </c>
      <c r="J277" s="3">
        <v>-11.48</v>
      </c>
    </row>
    <row r="278" spans="1:10" x14ac:dyDescent="0.25">
      <c r="A278" s="2">
        <v>45077</v>
      </c>
      <c r="B278">
        <v>2023</v>
      </c>
      <c r="C278" t="s">
        <v>29</v>
      </c>
      <c r="D278">
        <v>5</v>
      </c>
      <c r="E278" t="s">
        <v>13</v>
      </c>
      <c r="F278" t="s">
        <v>12</v>
      </c>
      <c r="G278" s="3">
        <v>62</v>
      </c>
      <c r="H278" s="3">
        <v>143.22</v>
      </c>
      <c r="I278" s="3">
        <v>8879.64</v>
      </c>
      <c r="J278" s="3">
        <v>-11.49</v>
      </c>
    </row>
    <row r="279" spans="1:10" x14ac:dyDescent="0.25">
      <c r="A279" s="2">
        <v>45077</v>
      </c>
      <c r="B279">
        <v>2023</v>
      </c>
      <c r="C279" t="s">
        <v>29</v>
      </c>
      <c r="D279">
        <v>5</v>
      </c>
      <c r="E279" t="s">
        <v>26</v>
      </c>
      <c r="F279" t="s">
        <v>12</v>
      </c>
      <c r="G279" s="3">
        <v>292</v>
      </c>
      <c r="H279" s="3">
        <v>23.28</v>
      </c>
      <c r="I279" s="3">
        <v>6797.76</v>
      </c>
      <c r="J279" s="3">
        <v>12.88</v>
      </c>
    </row>
    <row r="280" spans="1:10" x14ac:dyDescent="0.25">
      <c r="A280" s="2">
        <v>45077</v>
      </c>
      <c r="B280">
        <v>2023</v>
      </c>
      <c r="C280" t="s">
        <v>29</v>
      </c>
      <c r="D280">
        <v>5</v>
      </c>
      <c r="E280" t="s">
        <v>11</v>
      </c>
      <c r="F280" t="s">
        <v>25</v>
      </c>
      <c r="G280" s="3">
        <v>399</v>
      </c>
      <c r="H280" s="3">
        <v>51.21</v>
      </c>
      <c r="I280" s="3">
        <v>20432.79</v>
      </c>
      <c r="J280" s="3">
        <v>20.87</v>
      </c>
    </row>
    <row r="281" spans="1:10" x14ac:dyDescent="0.25">
      <c r="A281" s="2">
        <v>45077</v>
      </c>
      <c r="B281">
        <v>2023</v>
      </c>
      <c r="C281" t="s">
        <v>29</v>
      </c>
      <c r="D281">
        <v>5</v>
      </c>
      <c r="E281" t="s">
        <v>26</v>
      </c>
      <c r="F281" t="s">
        <v>20</v>
      </c>
      <c r="G281" s="3">
        <v>608</v>
      </c>
      <c r="H281" s="3">
        <v>147.30000000000001</v>
      </c>
      <c r="I281" s="3">
        <v>89558.399999999994</v>
      </c>
      <c r="J281" s="3">
        <v>15.71</v>
      </c>
    </row>
    <row r="282" spans="1:10" x14ac:dyDescent="0.25">
      <c r="A282" s="2">
        <v>45077</v>
      </c>
      <c r="B282">
        <v>2023</v>
      </c>
      <c r="C282" t="s">
        <v>29</v>
      </c>
      <c r="D282">
        <v>5</v>
      </c>
      <c r="E282" t="s">
        <v>26</v>
      </c>
      <c r="F282" t="s">
        <v>19</v>
      </c>
      <c r="G282" s="3">
        <v>773</v>
      </c>
      <c r="H282" s="3">
        <v>111.37</v>
      </c>
      <c r="I282" s="3">
        <v>86089.01</v>
      </c>
      <c r="J282" s="3">
        <v>-5.3</v>
      </c>
    </row>
    <row r="283" spans="1:10" x14ac:dyDescent="0.25">
      <c r="A283" s="2">
        <v>45077</v>
      </c>
      <c r="B283">
        <v>2023</v>
      </c>
      <c r="C283" t="s">
        <v>29</v>
      </c>
      <c r="D283">
        <v>5</v>
      </c>
      <c r="E283" t="s">
        <v>26</v>
      </c>
      <c r="F283" t="s">
        <v>18</v>
      </c>
      <c r="G283" s="3">
        <v>375</v>
      </c>
      <c r="H283" s="3">
        <v>194.24</v>
      </c>
      <c r="I283" s="3">
        <v>72840</v>
      </c>
      <c r="J283" s="3">
        <v>13.44</v>
      </c>
    </row>
    <row r="284" spans="1:10" x14ac:dyDescent="0.25">
      <c r="A284" s="2">
        <v>45077</v>
      </c>
      <c r="B284">
        <v>2023</v>
      </c>
      <c r="C284" t="s">
        <v>29</v>
      </c>
      <c r="D284">
        <v>5</v>
      </c>
      <c r="E284" t="s">
        <v>26</v>
      </c>
      <c r="F284" t="s">
        <v>17</v>
      </c>
      <c r="G284" s="3">
        <v>75</v>
      </c>
      <c r="H284" s="3">
        <v>70.400000000000006</v>
      </c>
      <c r="I284" s="3">
        <v>5280</v>
      </c>
      <c r="J284" s="3">
        <v>15.78</v>
      </c>
    </row>
    <row r="285" spans="1:10" x14ac:dyDescent="0.25">
      <c r="A285" s="2">
        <v>45077</v>
      </c>
      <c r="B285">
        <v>2023</v>
      </c>
      <c r="C285" t="s">
        <v>29</v>
      </c>
      <c r="D285">
        <v>5</v>
      </c>
      <c r="E285" t="s">
        <v>26</v>
      </c>
      <c r="F285" t="s">
        <v>21</v>
      </c>
      <c r="G285" s="3">
        <v>599</v>
      </c>
      <c r="H285" s="3">
        <v>124.62</v>
      </c>
      <c r="I285" s="3">
        <v>74647.38</v>
      </c>
      <c r="J285" s="3">
        <v>-8.83</v>
      </c>
    </row>
    <row r="286" spans="1:10" x14ac:dyDescent="0.25">
      <c r="A286" s="2">
        <v>45077</v>
      </c>
      <c r="B286">
        <v>2023</v>
      </c>
      <c r="C286" t="s">
        <v>29</v>
      </c>
      <c r="D286">
        <v>5</v>
      </c>
      <c r="E286" t="s">
        <v>26</v>
      </c>
      <c r="F286" t="s">
        <v>16</v>
      </c>
      <c r="G286" s="3">
        <v>490</v>
      </c>
      <c r="H286" s="3">
        <v>149.32</v>
      </c>
      <c r="I286" s="3">
        <v>73166.8</v>
      </c>
      <c r="J286" s="3">
        <v>6.4</v>
      </c>
    </row>
    <row r="287" spans="1:10" x14ac:dyDescent="0.25">
      <c r="A287" s="2">
        <v>45077</v>
      </c>
      <c r="B287">
        <v>2023</v>
      </c>
      <c r="C287" t="s">
        <v>29</v>
      </c>
      <c r="D287">
        <v>5</v>
      </c>
      <c r="E287" t="s">
        <v>26</v>
      </c>
      <c r="F287" t="s">
        <v>15</v>
      </c>
      <c r="G287" s="3">
        <v>655</v>
      </c>
      <c r="H287" s="3">
        <v>50.76</v>
      </c>
      <c r="I287" s="3">
        <v>33247.800000000003</v>
      </c>
      <c r="J287" s="3">
        <v>11.75</v>
      </c>
    </row>
    <row r="288" spans="1:10" x14ac:dyDescent="0.25">
      <c r="A288" s="2">
        <v>45077</v>
      </c>
      <c r="B288">
        <v>2023</v>
      </c>
      <c r="C288" t="s">
        <v>29</v>
      </c>
      <c r="D288">
        <v>5</v>
      </c>
      <c r="E288" t="s">
        <v>26</v>
      </c>
      <c r="F288" t="s">
        <v>14</v>
      </c>
      <c r="G288" s="3">
        <v>124</v>
      </c>
      <c r="H288" s="3">
        <v>175.79</v>
      </c>
      <c r="I288" s="3">
        <v>21797.96</v>
      </c>
      <c r="J288" s="3">
        <v>17.68</v>
      </c>
    </row>
    <row r="289" spans="1:10" x14ac:dyDescent="0.25">
      <c r="A289" s="2">
        <v>45077</v>
      </c>
      <c r="B289">
        <v>2023</v>
      </c>
      <c r="C289" t="s">
        <v>29</v>
      </c>
      <c r="D289">
        <v>5</v>
      </c>
      <c r="E289" t="s">
        <v>26</v>
      </c>
      <c r="F289" t="s">
        <v>24</v>
      </c>
      <c r="G289" s="3">
        <v>272</v>
      </c>
      <c r="H289" s="3">
        <v>181.39</v>
      </c>
      <c r="I289" s="3">
        <v>49338.080000000002</v>
      </c>
      <c r="J289" s="3">
        <v>8.0399999999999991</v>
      </c>
    </row>
    <row r="290" spans="1:10" x14ac:dyDescent="0.25">
      <c r="A290" s="2">
        <v>45107</v>
      </c>
      <c r="B290">
        <v>2023</v>
      </c>
      <c r="C290" t="s">
        <v>30</v>
      </c>
      <c r="D290">
        <v>6</v>
      </c>
      <c r="E290" t="s">
        <v>13</v>
      </c>
      <c r="F290" t="s">
        <v>22</v>
      </c>
      <c r="G290" s="3">
        <v>693</v>
      </c>
      <c r="H290" s="3">
        <v>52.75</v>
      </c>
      <c r="I290" s="3">
        <v>36555.75</v>
      </c>
      <c r="J290" s="3">
        <v>19.47</v>
      </c>
    </row>
    <row r="291" spans="1:10" x14ac:dyDescent="0.25">
      <c r="A291" s="2">
        <v>45107</v>
      </c>
      <c r="B291">
        <v>2023</v>
      </c>
      <c r="C291" t="s">
        <v>30</v>
      </c>
      <c r="D291">
        <v>6</v>
      </c>
      <c r="E291" t="s">
        <v>13</v>
      </c>
      <c r="F291" t="s">
        <v>14</v>
      </c>
      <c r="G291" s="3">
        <v>391</v>
      </c>
      <c r="H291" s="3">
        <v>35.36</v>
      </c>
      <c r="I291" s="3">
        <v>13825.76</v>
      </c>
      <c r="J291" s="3">
        <v>24.87</v>
      </c>
    </row>
    <row r="292" spans="1:10" x14ac:dyDescent="0.25">
      <c r="A292" s="2">
        <v>45107</v>
      </c>
      <c r="B292">
        <v>2023</v>
      </c>
      <c r="C292" t="s">
        <v>30</v>
      </c>
      <c r="D292">
        <v>6</v>
      </c>
      <c r="E292" t="s">
        <v>13</v>
      </c>
      <c r="F292" t="s">
        <v>15</v>
      </c>
      <c r="G292" s="3">
        <v>610</v>
      </c>
      <c r="H292" s="3">
        <v>73.930000000000007</v>
      </c>
      <c r="I292" s="3">
        <v>45097.3</v>
      </c>
      <c r="J292" s="3">
        <v>-2.6</v>
      </c>
    </row>
    <row r="293" spans="1:10" x14ac:dyDescent="0.25">
      <c r="A293" s="2">
        <v>45107</v>
      </c>
      <c r="B293">
        <v>2023</v>
      </c>
      <c r="C293" t="s">
        <v>30</v>
      </c>
      <c r="D293">
        <v>6</v>
      </c>
      <c r="E293" t="s">
        <v>13</v>
      </c>
      <c r="F293" t="s">
        <v>16</v>
      </c>
      <c r="G293" s="3">
        <v>264</v>
      </c>
      <c r="H293" s="3">
        <v>96.82</v>
      </c>
      <c r="I293" s="3">
        <v>25560.48</v>
      </c>
      <c r="J293" s="3">
        <v>16.989999999999998</v>
      </c>
    </row>
    <row r="294" spans="1:10" x14ac:dyDescent="0.25">
      <c r="A294" s="2">
        <v>45107</v>
      </c>
      <c r="B294">
        <v>2023</v>
      </c>
      <c r="C294" t="s">
        <v>30</v>
      </c>
      <c r="D294">
        <v>6</v>
      </c>
      <c r="E294" t="s">
        <v>13</v>
      </c>
      <c r="F294" t="s">
        <v>17</v>
      </c>
      <c r="G294" s="3">
        <v>367</v>
      </c>
      <c r="H294" s="3">
        <v>56.93</v>
      </c>
      <c r="I294" s="3">
        <v>20893.310000000001</v>
      </c>
      <c r="J294" s="3">
        <v>-7.37</v>
      </c>
    </row>
    <row r="295" spans="1:10" x14ac:dyDescent="0.25">
      <c r="A295" s="2">
        <v>45107</v>
      </c>
      <c r="B295">
        <v>2023</v>
      </c>
      <c r="C295" t="s">
        <v>30</v>
      </c>
      <c r="D295">
        <v>6</v>
      </c>
      <c r="E295" t="s">
        <v>13</v>
      </c>
      <c r="F295" t="s">
        <v>18</v>
      </c>
      <c r="G295" s="3">
        <v>478</v>
      </c>
      <c r="H295" s="3">
        <v>87.99</v>
      </c>
      <c r="I295" s="3">
        <v>42059.22</v>
      </c>
      <c r="J295" s="3">
        <v>18.46</v>
      </c>
    </row>
    <row r="296" spans="1:10" x14ac:dyDescent="0.25">
      <c r="A296" s="2">
        <v>45107</v>
      </c>
      <c r="B296">
        <v>2023</v>
      </c>
      <c r="C296" t="s">
        <v>30</v>
      </c>
      <c r="D296">
        <v>6</v>
      </c>
      <c r="E296" t="s">
        <v>13</v>
      </c>
      <c r="F296" t="s">
        <v>19</v>
      </c>
      <c r="G296" s="3">
        <v>68</v>
      </c>
      <c r="H296" s="3">
        <v>31.83</v>
      </c>
      <c r="I296" s="3">
        <v>2164.44</v>
      </c>
      <c r="J296" s="3">
        <v>16.02</v>
      </c>
    </row>
    <row r="297" spans="1:10" x14ac:dyDescent="0.25">
      <c r="A297" s="2">
        <v>45107</v>
      </c>
      <c r="B297">
        <v>2023</v>
      </c>
      <c r="C297" t="s">
        <v>30</v>
      </c>
      <c r="D297">
        <v>6</v>
      </c>
      <c r="E297" t="s">
        <v>13</v>
      </c>
      <c r="F297" t="s">
        <v>20</v>
      </c>
      <c r="G297" s="3">
        <v>224</v>
      </c>
      <c r="H297" s="3">
        <v>114.98</v>
      </c>
      <c r="I297" s="3">
        <v>25755.52</v>
      </c>
      <c r="J297" s="3">
        <v>6.38</v>
      </c>
    </row>
    <row r="298" spans="1:10" x14ac:dyDescent="0.25">
      <c r="A298" s="2">
        <v>45107</v>
      </c>
      <c r="B298">
        <v>2023</v>
      </c>
      <c r="C298" t="s">
        <v>30</v>
      </c>
      <c r="D298">
        <v>6</v>
      </c>
      <c r="E298" t="s">
        <v>13</v>
      </c>
      <c r="F298" t="s">
        <v>21</v>
      </c>
      <c r="G298" s="3">
        <v>162</v>
      </c>
      <c r="H298" s="3">
        <v>92.14</v>
      </c>
      <c r="I298" s="3">
        <v>14926.68</v>
      </c>
      <c r="J298" s="3">
        <v>7.39</v>
      </c>
    </row>
    <row r="299" spans="1:10" x14ac:dyDescent="0.25">
      <c r="A299" s="2">
        <v>45107</v>
      </c>
      <c r="B299">
        <v>2023</v>
      </c>
      <c r="C299" t="s">
        <v>30</v>
      </c>
      <c r="D299">
        <v>6</v>
      </c>
      <c r="E299" t="s">
        <v>13</v>
      </c>
      <c r="F299" t="s">
        <v>24</v>
      </c>
      <c r="G299" s="3">
        <v>133</v>
      </c>
      <c r="H299" s="3">
        <v>102.62</v>
      </c>
      <c r="I299" s="3">
        <v>13648.46</v>
      </c>
      <c r="J299" s="3">
        <v>7.29</v>
      </c>
    </row>
    <row r="300" spans="1:10" x14ac:dyDescent="0.25">
      <c r="A300" s="2">
        <v>45107</v>
      </c>
      <c r="B300">
        <v>2023</v>
      </c>
      <c r="C300" t="s">
        <v>30</v>
      </c>
      <c r="D300">
        <v>6</v>
      </c>
      <c r="E300" t="s">
        <v>13</v>
      </c>
      <c r="F300" t="s">
        <v>25</v>
      </c>
      <c r="G300" s="3">
        <v>692</v>
      </c>
      <c r="H300" s="3">
        <v>87.2</v>
      </c>
      <c r="I300" s="3">
        <v>60342.400000000001</v>
      </c>
      <c r="J300" s="3">
        <v>-4.17</v>
      </c>
    </row>
    <row r="301" spans="1:10" x14ac:dyDescent="0.25">
      <c r="A301" s="2">
        <v>45107</v>
      </c>
      <c r="B301">
        <v>2023</v>
      </c>
      <c r="C301" t="s">
        <v>30</v>
      </c>
      <c r="D301">
        <v>6</v>
      </c>
      <c r="E301" t="s">
        <v>23</v>
      </c>
      <c r="F301" t="s">
        <v>16</v>
      </c>
      <c r="G301" s="3">
        <v>288</v>
      </c>
      <c r="H301" s="3">
        <v>122.5</v>
      </c>
      <c r="I301" s="3">
        <v>35280</v>
      </c>
      <c r="J301" s="3">
        <v>20.5</v>
      </c>
    </row>
    <row r="302" spans="1:10" x14ac:dyDescent="0.25">
      <c r="A302" s="2">
        <v>45107</v>
      </c>
      <c r="B302">
        <v>2023</v>
      </c>
      <c r="C302" t="s">
        <v>30</v>
      </c>
      <c r="D302">
        <v>6</v>
      </c>
      <c r="E302" t="s">
        <v>23</v>
      </c>
      <c r="F302" t="s">
        <v>24</v>
      </c>
      <c r="G302" s="3">
        <v>525</v>
      </c>
      <c r="H302" s="3">
        <v>171.16</v>
      </c>
      <c r="I302" s="3">
        <v>89859</v>
      </c>
      <c r="J302" s="3">
        <v>19.68</v>
      </c>
    </row>
    <row r="303" spans="1:10" x14ac:dyDescent="0.25">
      <c r="A303" s="2">
        <v>45107</v>
      </c>
      <c r="B303">
        <v>2023</v>
      </c>
      <c r="C303" t="s">
        <v>30</v>
      </c>
      <c r="D303">
        <v>6</v>
      </c>
      <c r="E303" t="s">
        <v>23</v>
      </c>
      <c r="F303" t="s">
        <v>14</v>
      </c>
      <c r="G303" s="3">
        <v>57</v>
      </c>
      <c r="H303" s="3">
        <v>24.88</v>
      </c>
      <c r="I303" s="3">
        <v>1418.16</v>
      </c>
      <c r="J303" s="3">
        <v>-6.12</v>
      </c>
    </row>
    <row r="304" spans="1:10" x14ac:dyDescent="0.25">
      <c r="A304" s="2">
        <v>45107</v>
      </c>
      <c r="B304">
        <v>2023</v>
      </c>
      <c r="C304" t="s">
        <v>30</v>
      </c>
      <c r="D304">
        <v>6</v>
      </c>
      <c r="E304" t="s">
        <v>23</v>
      </c>
      <c r="F304" t="s">
        <v>15</v>
      </c>
      <c r="G304" s="3">
        <v>492</v>
      </c>
      <c r="H304" s="3">
        <v>110.99</v>
      </c>
      <c r="I304" s="3">
        <v>54607.08</v>
      </c>
      <c r="J304" s="3">
        <v>8.8000000000000007</v>
      </c>
    </row>
    <row r="305" spans="1:10" x14ac:dyDescent="0.25">
      <c r="A305" s="2">
        <v>45107</v>
      </c>
      <c r="B305">
        <v>2023</v>
      </c>
      <c r="C305" t="s">
        <v>30</v>
      </c>
      <c r="D305">
        <v>6</v>
      </c>
      <c r="E305" t="s">
        <v>23</v>
      </c>
      <c r="F305" t="s">
        <v>17</v>
      </c>
      <c r="G305" s="3">
        <v>653</v>
      </c>
      <c r="H305" s="3">
        <v>62.87</v>
      </c>
      <c r="I305" s="3">
        <v>41054.11</v>
      </c>
      <c r="J305" s="3">
        <v>-11.02</v>
      </c>
    </row>
    <row r="306" spans="1:10" x14ac:dyDescent="0.25">
      <c r="A306" s="2">
        <v>45107</v>
      </c>
      <c r="B306">
        <v>2023</v>
      </c>
      <c r="C306" t="s">
        <v>30</v>
      </c>
      <c r="D306">
        <v>6</v>
      </c>
      <c r="E306" t="s">
        <v>23</v>
      </c>
      <c r="F306" t="s">
        <v>18</v>
      </c>
      <c r="G306" s="3">
        <v>145</v>
      </c>
      <c r="H306" s="3">
        <v>197.97</v>
      </c>
      <c r="I306" s="3">
        <v>28705.65</v>
      </c>
      <c r="J306" s="3">
        <v>9.1300000000000008</v>
      </c>
    </row>
    <row r="307" spans="1:10" x14ac:dyDescent="0.25">
      <c r="A307" s="2">
        <v>45107</v>
      </c>
      <c r="B307">
        <v>2023</v>
      </c>
      <c r="C307" t="s">
        <v>30</v>
      </c>
      <c r="D307">
        <v>6</v>
      </c>
      <c r="E307" t="s">
        <v>23</v>
      </c>
      <c r="F307" t="s">
        <v>19</v>
      </c>
      <c r="G307" s="3">
        <v>540</v>
      </c>
      <c r="H307" s="3">
        <v>193.28</v>
      </c>
      <c r="I307" s="3">
        <v>104371.2</v>
      </c>
      <c r="J307" s="3">
        <v>22.78</v>
      </c>
    </row>
    <row r="308" spans="1:10" x14ac:dyDescent="0.25">
      <c r="A308" s="2">
        <v>45107</v>
      </c>
      <c r="B308">
        <v>2023</v>
      </c>
      <c r="C308" t="s">
        <v>30</v>
      </c>
      <c r="D308">
        <v>6</v>
      </c>
      <c r="E308" t="s">
        <v>23</v>
      </c>
      <c r="F308" t="s">
        <v>20</v>
      </c>
      <c r="G308" s="3">
        <v>231</v>
      </c>
      <c r="H308" s="3">
        <v>56.9</v>
      </c>
      <c r="I308" s="3">
        <v>13143.9</v>
      </c>
      <c r="J308" s="3">
        <v>-3.27</v>
      </c>
    </row>
    <row r="309" spans="1:10" x14ac:dyDescent="0.25">
      <c r="A309" s="2">
        <v>45107</v>
      </c>
      <c r="B309">
        <v>2023</v>
      </c>
      <c r="C309" t="s">
        <v>30</v>
      </c>
      <c r="D309">
        <v>6</v>
      </c>
      <c r="E309" t="s">
        <v>23</v>
      </c>
      <c r="F309" t="s">
        <v>21</v>
      </c>
      <c r="G309" s="3">
        <v>56</v>
      </c>
      <c r="H309" s="3">
        <v>133.97999999999999</v>
      </c>
      <c r="I309" s="3">
        <v>7502.88</v>
      </c>
      <c r="J309" s="3">
        <v>14.44</v>
      </c>
    </row>
    <row r="310" spans="1:10" x14ac:dyDescent="0.25">
      <c r="A310" s="2">
        <v>45107</v>
      </c>
      <c r="B310">
        <v>2023</v>
      </c>
      <c r="C310" t="s">
        <v>30</v>
      </c>
      <c r="D310">
        <v>6</v>
      </c>
      <c r="E310" t="s">
        <v>23</v>
      </c>
      <c r="F310" t="s">
        <v>22</v>
      </c>
      <c r="G310" s="3">
        <v>134</v>
      </c>
      <c r="H310" s="3">
        <v>24.78</v>
      </c>
      <c r="I310" s="3">
        <v>3320.52</v>
      </c>
      <c r="J310" s="3">
        <v>-7.74</v>
      </c>
    </row>
    <row r="311" spans="1:10" x14ac:dyDescent="0.25">
      <c r="A311" s="2">
        <v>45107</v>
      </c>
      <c r="B311">
        <v>2023</v>
      </c>
      <c r="C311" t="s">
        <v>30</v>
      </c>
      <c r="D311">
        <v>6</v>
      </c>
      <c r="E311" t="s">
        <v>23</v>
      </c>
      <c r="F311" t="s">
        <v>25</v>
      </c>
      <c r="G311" s="3">
        <v>597</v>
      </c>
      <c r="H311" s="3">
        <v>135.72999999999999</v>
      </c>
      <c r="I311" s="3">
        <v>81030.81</v>
      </c>
      <c r="J311" s="3">
        <v>13.16</v>
      </c>
    </row>
    <row r="312" spans="1:10" x14ac:dyDescent="0.25">
      <c r="A312" s="2">
        <v>45107</v>
      </c>
      <c r="B312">
        <v>2023</v>
      </c>
      <c r="C312" t="s">
        <v>30</v>
      </c>
      <c r="D312">
        <v>6</v>
      </c>
      <c r="E312" t="s">
        <v>23</v>
      </c>
      <c r="F312" t="s">
        <v>12</v>
      </c>
      <c r="G312" s="3">
        <v>211</v>
      </c>
      <c r="H312" s="3">
        <v>93.57</v>
      </c>
      <c r="I312" s="3">
        <v>19743.27</v>
      </c>
      <c r="J312" s="3">
        <v>-13.98</v>
      </c>
    </row>
    <row r="313" spans="1:10" x14ac:dyDescent="0.25">
      <c r="A313" s="2">
        <v>45107</v>
      </c>
      <c r="B313">
        <v>2023</v>
      </c>
      <c r="C313" t="s">
        <v>30</v>
      </c>
      <c r="D313">
        <v>6</v>
      </c>
      <c r="E313" t="s">
        <v>13</v>
      </c>
      <c r="F313" t="s">
        <v>12</v>
      </c>
      <c r="G313" s="3">
        <v>715</v>
      </c>
      <c r="H313" s="3">
        <v>22.36</v>
      </c>
      <c r="I313" s="3">
        <v>15987.4</v>
      </c>
      <c r="J313" s="3">
        <v>11.54</v>
      </c>
    </row>
    <row r="314" spans="1:10" x14ac:dyDescent="0.25">
      <c r="A314" s="2">
        <v>45107</v>
      </c>
      <c r="B314">
        <v>2023</v>
      </c>
      <c r="C314" t="s">
        <v>30</v>
      </c>
      <c r="D314">
        <v>6</v>
      </c>
      <c r="E314" t="s">
        <v>26</v>
      </c>
      <c r="F314" t="s">
        <v>25</v>
      </c>
      <c r="G314" s="3">
        <v>226</v>
      </c>
      <c r="H314" s="3">
        <v>160.49</v>
      </c>
      <c r="I314" s="3">
        <v>36270.74</v>
      </c>
      <c r="J314" s="3">
        <v>-3.9</v>
      </c>
    </row>
    <row r="315" spans="1:10" x14ac:dyDescent="0.25">
      <c r="A315" s="2">
        <v>45107</v>
      </c>
      <c r="B315">
        <v>2023</v>
      </c>
      <c r="C315" t="s">
        <v>30</v>
      </c>
      <c r="D315">
        <v>6</v>
      </c>
      <c r="E315" t="s">
        <v>26</v>
      </c>
      <c r="F315" t="s">
        <v>21</v>
      </c>
      <c r="G315" s="3">
        <v>228</v>
      </c>
      <c r="H315" s="3">
        <v>64.680000000000007</v>
      </c>
      <c r="I315" s="3">
        <v>14747.04</v>
      </c>
      <c r="J315" s="3">
        <v>8.11</v>
      </c>
    </row>
    <row r="316" spans="1:10" x14ac:dyDescent="0.25">
      <c r="A316" s="2">
        <v>45107</v>
      </c>
      <c r="B316">
        <v>2023</v>
      </c>
      <c r="C316" t="s">
        <v>30</v>
      </c>
      <c r="D316">
        <v>6</v>
      </c>
      <c r="E316" t="s">
        <v>11</v>
      </c>
      <c r="F316" t="s">
        <v>12</v>
      </c>
      <c r="G316" s="3">
        <v>64</v>
      </c>
      <c r="H316" s="3">
        <v>163.51</v>
      </c>
      <c r="I316" s="3">
        <v>10464.64</v>
      </c>
      <c r="J316" s="3">
        <v>-9</v>
      </c>
    </row>
    <row r="317" spans="1:10" x14ac:dyDescent="0.25">
      <c r="A317" s="2">
        <v>45107</v>
      </c>
      <c r="B317">
        <v>2023</v>
      </c>
      <c r="C317" t="s">
        <v>30</v>
      </c>
      <c r="D317">
        <v>6</v>
      </c>
      <c r="E317" t="s">
        <v>11</v>
      </c>
      <c r="F317" t="s">
        <v>24</v>
      </c>
      <c r="G317" s="3">
        <v>96</v>
      </c>
      <c r="H317" s="3">
        <v>93.61</v>
      </c>
      <c r="I317" s="3">
        <v>8986.56</v>
      </c>
      <c r="J317" s="3">
        <v>15.88</v>
      </c>
    </row>
    <row r="318" spans="1:10" x14ac:dyDescent="0.25">
      <c r="A318" s="2">
        <v>45107</v>
      </c>
      <c r="B318">
        <v>2023</v>
      </c>
      <c r="C318" t="s">
        <v>30</v>
      </c>
      <c r="D318">
        <v>6</v>
      </c>
      <c r="E318" t="s">
        <v>11</v>
      </c>
      <c r="F318" t="s">
        <v>14</v>
      </c>
      <c r="G318" s="3">
        <v>460</v>
      </c>
      <c r="H318" s="3">
        <v>135.41</v>
      </c>
      <c r="I318" s="3">
        <v>62288.6</v>
      </c>
      <c r="J318" s="3">
        <v>12.76</v>
      </c>
    </row>
    <row r="319" spans="1:10" x14ac:dyDescent="0.25">
      <c r="A319" s="2">
        <v>45107</v>
      </c>
      <c r="B319">
        <v>2023</v>
      </c>
      <c r="C319" t="s">
        <v>30</v>
      </c>
      <c r="D319">
        <v>6</v>
      </c>
      <c r="E319" t="s">
        <v>11</v>
      </c>
      <c r="F319" t="s">
        <v>15</v>
      </c>
      <c r="G319" s="3">
        <v>341</v>
      </c>
      <c r="H319" s="3">
        <v>148.91</v>
      </c>
      <c r="I319" s="3">
        <v>50778.31</v>
      </c>
      <c r="J319" s="3">
        <v>8.9600000000000009</v>
      </c>
    </row>
    <row r="320" spans="1:10" x14ac:dyDescent="0.25">
      <c r="A320" s="2">
        <v>45107</v>
      </c>
      <c r="B320">
        <v>2023</v>
      </c>
      <c r="C320" t="s">
        <v>30</v>
      </c>
      <c r="D320">
        <v>6</v>
      </c>
      <c r="E320" t="s">
        <v>11</v>
      </c>
      <c r="F320" t="s">
        <v>16</v>
      </c>
      <c r="G320" s="3">
        <v>709</v>
      </c>
      <c r="H320" s="3">
        <v>52.69</v>
      </c>
      <c r="I320" s="3">
        <v>37357.21</v>
      </c>
      <c r="J320" s="3">
        <v>21.34</v>
      </c>
    </row>
    <row r="321" spans="1:10" x14ac:dyDescent="0.25">
      <c r="A321" s="2">
        <v>45107</v>
      </c>
      <c r="B321">
        <v>2023</v>
      </c>
      <c r="C321" t="s">
        <v>30</v>
      </c>
      <c r="D321">
        <v>6</v>
      </c>
      <c r="E321" t="s">
        <v>11</v>
      </c>
      <c r="F321" t="s">
        <v>17</v>
      </c>
      <c r="G321" s="3">
        <v>599</v>
      </c>
      <c r="H321" s="3">
        <v>60.92</v>
      </c>
      <c r="I321" s="3">
        <v>36491.08</v>
      </c>
      <c r="J321" s="3">
        <v>1.94</v>
      </c>
    </row>
    <row r="322" spans="1:10" x14ac:dyDescent="0.25">
      <c r="A322" s="2">
        <v>45107</v>
      </c>
      <c r="B322">
        <v>2023</v>
      </c>
      <c r="C322" t="s">
        <v>30</v>
      </c>
      <c r="D322">
        <v>6</v>
      </c>
      <c r="E322" t="s">
        <v>11</v>
      </c>
      <c r="F322" t="s">
        <v>18</v>
      </c>
      <c r="G322" s="3">
        <v>395</v>
      </c>
      <c r="H322" s="3">
        <v>190.51</v>
      </c>
      <c r="I322" s="3">
        <v>75251.45</v>
      </c>
      <c r="J322" s="3">
        <v>-8.8699999999999992</v>
      </c>
    </row>
    <row r="323" spans="1:10" x14ac:dyDescent="0.25">
      <c r="A323" s="2">
        <v>45107</v>
      </c>
      <c r="B323">
        <v>2023</v>
      </c>
      <c r="C323" t="s">
        <v>30</v>
      </c>
      <c r="D323">
        <v>6</v>
      </c>
      <c r="E323" t="s">
        <v>11</v>
      </c>
      <c r="F323" t="s">
        <v>19</v>
      </c>
      <c r="G323" s="3">
        <v>190</v>
      </c>
      <c r="H323" s="3">
        <v>45.04</v>
      </c>
      <c r="I323" s="3">
        <v>8557.6</v>
      </c>
      <c r="J323" s="3">
        <v>-10.97</v>
      </c>
    </row>
    <row r="324" spans="1:10" x14ac:dyDescent="0.25">
      <c r="A324" s="2">
        <v>45107</v>
      </c>
      <c r="B324">
        <v>2023</v>
      </c>
      <c r="C324" t="s">
        <v>30</v>
      </c>
      <c r="D324">
        <v>6</v>
      </c>
      <c r="E324" t="s">
        <v>11</v>
      </c>
      <c r="F324" t="s">
        <v>20</v>
      </c>
      <c r="G324" s="3">
        <v>672</v>
      </c>
      <c r="H324" s="3">
        <v>150.69999999999999</v>
      </c>
      <c r="I324" s="3">
        <v>101270.39999999999</v>
      </c>
      <c r="J324" s="3">
        <v>8.7200000000000006</v>
      </c>
    </row>
    <row r="325" spans="1:10" x14ac:dyDescent="0.25">
      <c r="A325" s="2">
        <v>45107</v>
      </c>
      <c r="B325">
        <v>2023</v>
      </c>
      <c r="C325" t="s">
        <v>30</v>
      </c>
      <c r="D325">
        <v>6</v>
      </c>
      <c r="E325" t="s">
        <v>11</v>
      </c>
      <c r="F325" t="s">
        <v>21</v>
      </c>
      <c r="G325" s="3">
        <v>405</v>
      </c>
      <c r="H325" s="3">
        <v>185.38</v>
      </c>
      <c r="I325" s="3">
        <v>75078.899999999994</v>
      </c>
      <c r="J325" s="3">
        <v>16.600000000000001</v>
      </c>
    </row>
    <row r="326" spans="1:10" x14ac:dyDescent="0.25">
      <c r="A326" s="2">
        <v>45107</v>
      </c>
      <c r="B326">
        <v>2023</v>
      </c>
      <c r="C326" t="s">
        <v>30</v>
      </c>
      <c r="D326">
        <v>6</v>
      </c>
      <c r="E326" t="s">
        <v>26</v>
      </c>
      <c r="F326" t="s">
        <v>22</v>
      </c>
      <c r="G326" s="3">
        <v>229</v>
      </c>
      <c r="H326" s="3">
        <v>95.41</v>
      </c>
      <c r="I326" s="3">
        <v>21848.89</v>
      </c>
      <c r="J326" s="3">
        <v>21.59</v>
      </c>
    </row>
    <row r="327" spans="1:10" x14ac:dyDescent="0.25">
      <c r="A327" s="2">
        <v>45107</v>
      </c>
      <c r="B327">
        <v>2023</v>
      </c>
      <c r="C327" t="s">
        <v>30</v>
      </c>
      <c r="D327">
        <v>6</v>
      </c>
      <c r="E327" t="s">
        <v>11</v>
      </c>
      <c r="F327" t="s">
        <v>25</v>
      </c>
      <c r="G327" s="3">
        <v>427</v>
      </c>
      <c r="H327" s="3">
        <v>32.409999999999997</v>
      </c>
      <c r="I327" s="3">
        <v>13839.07</v>
      </c>
      <c r="J327" s="3">
        <v>-11.91</v>
      </c>
    </row>
    <row r="328" spans="1:10" x14ac:dyDescent="0.25">
      <c r="A328" s="2">
        <v>45107</v>
      </c>
      <c r="B328">
        <v>2023</v>
      </c>
      <c r="C328" t="s">
        <v>30</v>
      </c>
      <c r="D328">
        <v>6</v>
      </c>
      <c r="E328" t="s">
        <v>26</v>
      </c>
      <c r="F328" t="s">
        <v>12</v>
      </c>
      <c r="G328" s="3">
        <v>511</v>
      </c>
      <c r="H328" s="3">
        <v>188.19</v>
      </c>
      <c r="I328" s="3">
        <v>96165.09</v>
      </c>
      <c r="J328" s="3">
        <v>22.02</v>
      </c>
    </row>
    <row r="329" spans="1:10" x14ac:dyDescent="0.25">
      <c r="A329" s="2">
        <v>45107</v>
      </c>
      <c r="B329">
        <v>2023</v>
      </c>
      <c r="C329" t="s">
        <v>30</v>
      </c>
      <c r="D329">
        <v>6</v>
      </c>
      <c r="E329" t="s">
        <v>26</v>
      </c>
      <c r="F329" t="s">
        <v>24</v>
      </c>
      <c r="G329" s="3">
        <v>456</v>
      </c>
      <c r="H329" s="3">
        <v>42.11</v>
      </c>
      <c r="I329" s="3">
        <v>19202.16</v>
      </c>
      <c r="J329" s="3">
        <v>-5.56</v>
      </c>
    </row>
    <row r="330" spans="1:10" x14ac:dyDescent="0.25">
      <c r="A330" s="2">
        <v>45107</v>
      </c>
      <c r="B330">
        <v>2023</v>
      </c>
      <c r="C330" t="s">
        <v>30</v>
      </c>
      <c r="D330">
        <v>6</v>
      </c>
      <c r="E330" t="s">
        <v>26</v>
      </c>
      <c r="F330" t="s">
        <v>14</v>
      </c>
      <c r="G330" s="3">
        <v>395</v>
      </c>
      <c r="H330" s="3">
        <v>171</v>
      </c>
      <c r="I330" s="3">
        <v>67545</v>
      </c>
      <c r="J330" s="3">
        <v>-10.01</v>
      </c>
    </row>
    <row r="331" spans="1:10" x14ac:dyDescent="0.25">
      <c r="A331" s="2">
        <v>45107</v>
      </c>
      <c r="B331">
        <v>2023</v>
      </c>
      <c r="C331" t="s">
        <v>30</v>
      </c>
      <c r="D331">
        <v>6</v>
      </c>
      <c r="E331" t="s">
        <v>26</v>
      </c>
      <c r="F331" t="s">
        <v>15</v>
      </c>
      <c r="G331" s="3">
        <v>50</v>
      </c>
      <c r="H331" s="3">
        <v>176.58</v>
      </c>
      <c r="I331" s="3">
        <v>8829</v>
      </c>
      <c r="J331" s="3">
        <v>5.75</v>
      </c>
    </row>
    <row r="332" spans="1:10" x14ac:dyDescent="0.25">
      <c r="A332" s="2">
        <v>45107</v>
      </c>
      <c r="B332">
        <v>2023</v>
      </c>
      <c r="C332" t="s">
        <v>30</v>
      </c>
      <c r="D332">
        <v>6</v>
      </c>
      <c r="E332" t="s">
        <v>26</v>
      </c>
      <c r="F332" t="s">
        <v>16</v>
      </c>
      <c r="G332" s="3">
        <v>710</v>
      </c>
      <c r="H332" s="3">
        <v>88.28</v>
      </c>
      <c r="I332" s="3">
        <v>62678.8</v>
      </c>
      <c r="J332" s="3">
        <v>14.77</v>
      </c>
    </row>
    <row r="333" spans="1:10" x14ac:dyDescent="0.25">
      <c r="A333" s="2">
        <v>45107</v>
      </c>
      <c r="B333">
        <v>2023</v>
      </c>
      <c r="C333" t="s">
        <v>30</v>
      </c>
      <c r="D333">
        <v>6</v>
      </c>
      <c r="E333" t="s">
        <v>26</v>
      </c>
      <c r="F333" t="s">
        <v>17</v>
      </c>
      <c r="G333" s="3">
        <v>251</v>
      </c>
      <c r="H333" s="3">
        <v>164.51</v>
      </c>
      <c r="I333" s="3">
        <v>41292.01</v>
      </c>
      <c r="J333" s="3">
        <v>-14.81</v>
      </c>
    </row>
    <row r="334" spans="1:10" x14ac:dyDescent="0.25">
      <c r="A334" s="2">
        <v>45107</v>
      </c>
      <c r="B334">
        <v>2023</v>
      </c>
      <c r="C334" t="s">
        <v>30</v>
      </c>
      <c r="D334">
        <v>6</v>
      </c>
      <c r="E334" t="s">
        <v>26</v>
      </c>
      <c r="F334" t="s">
        <v>18</v>
      </c>
      <c r="G334" s="3">
        <v>624</v>
      </c>
      <c r="H334" s="3">
        <v>94.61</v>
      </c>
      <c r="I334" s="3">
        <v>59036.639999999999</v>
      </c>
      <c r="J334" s="3">
        <v>19.54</v>
      </c>
    </row>
    <row r="335" spans="1:10" x14ac:dyDescent="0.25">
      <c r="A335" s="2">
        <v>45107</v>
      </c>
      <c r="B335">
        <v>2023</v>
      </c>
      <c r="C335" t="s">
        <v>30</v>
      </c>
      <c r="D335">
        <v>6</v>
      </c>
      <c r="E335" t="s">
        <v>26</v>
      </c>
      <c r="F335" t="s">
        <v>19</v>
      </c>
      <c r="G335" s="3">
        <v>435</v>
      </c>
      <c r="H335" s="3">
        <v>103.83</v>
      </c>
      <c r="I335" s="3">
        <v>45166.05</v>
      </c>
      <c r="J335" s="3">
        <v>4.2300000000000004</v>
      </c>
    </row>
    <row r="336" spans="1:10" x14ac:dyDescent="0.25">
      <c r="A336" s="2">
        <v>45107</v>
      </c>
      <c r="B336">
        <v>2023</v>
      </c>
      <c r="C336" t="s">
        <v>30</v>
      </c>
      <c r="D336">
        <v>6</v>
      </c>
      <c r="E336" t="s">
        <v>26</v>
      </c>
      <c r="F336" t="s">
        <v>20</v>
      </c>
      <c r="G336" s="3">
        <v>396</v>
      </c>
      <c r="H336" s="3">
        <v>101.4</v>
      </c>
      <c r="I336" s="3">
        <v>40154.400000000001</v>
      </c>
      <c r="J336" s="3">
        <v>-6.02</v>
      </c>
    </row>
    <row r="337" spans="1:10" x14ac:dyDescent="0.25">
      <c r="A337" s="2">
        <v>45107</v>
      </c>
      <c r="B337">
        <v>2023</v>
      </c>
      <c r="C337" t="s">
        <v>30</v>
      </c>
      <c r="D337">
        <v>6</v>
      </c>
      <c r="E337" t="s">
        <v>11</v>
      </c>
      <c r="F337" t="s">
        <v>22</v>
      </c>
      <c r="G337" s="3">
        <v>176</v>
      </c>
      <c r="H337" s="3">
        <v>47.46</v>
      </c>
      <c r="I337" s="3">
        <v>8352.9599999999991</v>
      </c>
      <c r="J337" s="3">
        <v>8.0500000000000007</v>
      </c>
    </row>
    <row r="338" spans="1:10" x14ac:dyDescent="0.25">
      <c r="A338" s="2">
        <v>45137</v>
      </c>
      <c r="B338">
        <v>2023</v>
      </c>
      <c r="C338" t="s">
        <v>31</v>
      </c>
      <c r="D338">
        <v>7</v>
      </c>
      <c r="E338" t="s">
        <v>13</v>
      </c>
      <c r="F338" t="s">
        <v>21</v>
      </c>
      <c r="G338" s="3">
        <v>324</v>
      </c>
      <c r="H338" s="3">
        <v>76.63</v>
      </c>
      <c r="I338" s="3">
        <v>24828.12</v>
      </c>
      <c r="J338" s="3">
        <v>17.3</v>
      </c>
    </row>
    <row r="339" spans="1:10" x14ac:dyDescent="0.25">
      <c r="A339" s="2">
        <v>45137</v>
      </c>
      <c r="B339">
        <v>2023</v>
      </c>
      <c r="C339" t="s">
        <v>31</v>
      </c>
      <c r="D339">
        <v>7</v>
      </c>
      <c r="E339" t="s">
        <v>13</v>
      </c>
      <c r="F339" t="s">
        <v>20</v>
      </c>
      <c r="G339" s="3">
        <v>484</v>
      </c>
      <c r="H339" s="3">
        <v>68.989999999999995</v>
      </c>
      <c r="I339" s="3">
        <v>33391.160000000003</v>
      </c>
      <c r="J339" s="3">
        <v>8.61</v>
      </c>
    </row>
    <row r="340" spans="1:10" x14ac:dyDescent="0.25">
      <c r="A340" s="2">
        <v>45137</v>
      </c>
      <c r="B340">
        <v>2023</v>
      </c>
      <c r="C340" t="s">
        <v>31</v>
      </c>
      <c r="D340">
        <v>7</v>
      </c>
      <c r="E340" t="s">
        <v>13</v>
      </c>
      <c r="F340" t="s">
        <v>19</v>
      </c>
      <c r="G340" s="3">
        <v>180</v>
      </c>
      <c r="H340" s="3">
        <v>34</v>
      </c>
      <c r="I340" s="3">
        <v>6120</v>
      </c>
      <c r="J340" s="3">
        <v>-14.91</v>
      </c>
    </row>
    <row r="341" spans="1:10" x14ac:dyDescent="0.25">
      <c r="A341" s="2">
        <v>45137</v>
      </c>
      <c r="B341">
        <v>2023</v>
      </c>
      <c r="C341" t="s">
        <v>31</v>
      </c>
      <c r="D341">
        <v>7</v>
      </c>
      <c r="E341" t="s">
        <v>13</v>
      </c>
      <c r="F341" t="s">
        <v>18</v>
      </c>
      <c r="G341" s="3">
        <v>665</v>
      </c>
      <c r="H341" s="3">
        <v>98.27</v>
      </c>
      <c r="I341" s="3">
        <v>65349.55</v>
      </c>
      <c r="J341" s="3">
        <v>-5.14</v>
      </c>
    </row>
    <row r="342" spans="1:10" x14ac:dyDescent="0.25">
      <c r="A342" s="2">
        <v>45137</v>
      </c>
      <c r="B342">
        <v>2023</v>
      </c>
      <c r="C342" t="s">
        <v>31</v>
      </c>
      <c r="D342">
        <v>7</v>
      </c>
      <c r="E342" t="s">
        <v>13</v>
      </c>
      <c r="F342" t="s">
        <v>24</v>
      </c>
      <c r="G342" s="3">
        <v>338</v>
      </c>
      <c r="H342" s="3">
        <v>68.58</v>
      </c>
      <c r="I342" s="3">
        <v>23180.04</v>
      </c>
      <c r="J342" s="3">
        <v>6.59</v>
      </c>
    </row>
    <row r="343" spans="1:10" x14ac:dyDescent="0.25">
      <c r="A343" s="2">
        <v>45137</v>
      </c>
      <c r="B343">
        <v>2023</v>
      </c>
      <c r="C343" t="s">
        <v>31</v>
      </c>
      <c r="D343">
        <v>7</v>
      </c>
      <c r="E343" t="s">
        <v>13</v>
      </c>
      <c r="F343" t="s">
        <v>16</v>
      </c>
      <c r="G343" s="3">
        <v>203</v>
      </c>
      <c r="H343" s="3">
        <v>105.36</v>
      </c>
      <c r="I343" s="3">
        <v>21388.080000000002</v>
      </c>
      <c r="J343" s="3">
        <v>-1.22</v>
      </c>
    </row>
    <row r="344" spans="1:10" x14ac:dyDescent="0.25">
      <c r="A344" s="2">
        <v>45137</v>
      </c>
      <c r="B344">
        <v>2023</v>
      </c>
      <c r="C344" t="s">
        <v>31</v>
      </c>
      <c r="D344">
        <v>7</v>
      </c>
      <c r="E344" t="s">
        <v>13</v>
      </c>
      <c r="F344" t="s">
        <v>15</v>
      </c>
      <c r="G344" s="3">
        <v>556</v>
      </c>
      <c r="H344" s="3">
        <v>127.43</v>
      </c>
      <c r="I344" s="3">
        <v>70851.08</v>
      </c>
      <c r="J344" s="3">
        <v>-1.63</v>
      </c>
    </row>
    <row r="345" spans="1:10" x14ac:dyDescent="0.25">
      <c r="A345" s="2">
        <v>45137</v>
      </c>
      <c r="B345">
        <v>2023</v>
      </c>
      <c r="C345" t="s">
        <v>31</v>
      </c>
      <c r="D345">
        <v>7</v>
      </c>
      <c r="E345" t="s">
        <v>13</v>
      </c>
      <c r="F345" t="s">
        <v>14</v>
      </c>
      <c r="G345" s="3">
        <v>516</v>
      </c>
      <c r="H345" s="3">
        <v>127.11</v>
      </c>
      <c r="I345" s="3">
        <v>65588.759999999995</v>
      </c>
      <c r="J345" s="3">
        <v>-12.94</v>
      </c>
    </row>
    <row r="346" spans="1:10" x14ac:dyDescent="0.25">
      <c r="A346" s="2">
        <v>45137</v>
      </c>
      <c r="B346">
        <v>2023</v>
      </c>
      <c r="C346" t="s">
        <v>31</v>
      </c>
      <c r="D346">
        <v>7</v>
      </c>
      <c r="E346" t="s">
        <v>13</v>
      </c>
      <c r="F346" t="s">
        <v>22</v>
      </c>
      <c r="G346" s="3">
        <v>66</v>
      </c>
      <c r="H346" s="3">
        <v>191.04</v>
      </c>
      <c r="I346" s="3">
        <v>12608.64</v>
      </c>
      <c r="J346" s="3">
        <v>2.84</v>
      </c>
    </row>
    <row r="347" spans="1:10" x14ac:dyDescent="0.25">
      <c r="A347" s="2">
        <v>45137</v>
      </c>
      <c r="B347">
        <v>2023</v>
      </c>
      <c r="C347" t="s">
        <v>31</v>
      </c>
      <c r="D347">
        <v>7</v>
      </c>
      <c r="E347" t="s">
        <v>13</v>
      </c>
      <c r="F347" t="s">
        <v>17</v>
      </c>
      <c r="G347" s="3">
        <v>345</v>
      </c>
      <c r="H347" s="3">
        <v>151.07</v>
      </c>
      <c r="I347" s="3">
        <v>52119.15</v>
      </c>
      <c r="J347" s="3">
        <v>4.82</v>
      </c>
    </row>
    <row r="348" spans="1:10" x14ac:dyDescent="0.25">
      <c r="A348" s="2">
        <v>45137</v>
      </c>
      <c r="B348">
        <v>2023</v>
      </c>
      <c r="C348" t="s">
        <v>31</v>
      </c>
      <c r="D348">
        <v>7</v>
      </c>
      <c r="E348" t="s">
        <v>13</v>
      </c>
      <c r="F348" t="s">
        <v>25</v>
      </c>
      <c r="G348" s="3">
        <v>61</v>
      </c>
      <c r="H348" s="3">
        <v>117.54</v>
      </c>
      <c r="I348" s="3">
        <v>7169.94</v>
      </c>
      <c r="J348" s="3">
        <v>19.920000000000002</v>
      </c>
    </row>
    <row r="349" spans="1:10" x14ac:dyDescent="0.25">
      <c r="A349" s="2">
        <v>45137</v>
      </c>
      <c r="B349">
        <v>2023</v>
      </c>
      <c r="C349" t="s">
        <v>31</v>
      </c>
      <c r="D349">
        <v>7</v>
      </c>
      <c r="E349" t="s">
        <v>23</v>
      </c>
      <c r="F349" t="s">
        <v>16</v>
      </c>
      <c r="G349" s="3">
        <v>760</v>
      </c>
      <c r="H349" s="3">
        <v>199.88</v>
      </c>
      <c r="I349" s="3">
        <v>151908.79999999999</v>
      </c>
      <c r="J349" s="3">
        <v>7.23</v>
      </c>
    </row>
    <row r="350" spans="1:10" x14ac:dyDescent="0.25">
      <c r="A350" s="2">
        <v>45137</v>
      </c>
      <c r="B350">
        <v>2023</v>
      </c>
      <c r="C350" t="s">
        <v>31</v>
      </c>
      <c r="D350">
        <v>7</v>
      </c>
      <c r="E350" t="s">
        <v>23</v>
      </c>
      <c r="F350" t="s">
        <v>24</v>
      </c>
      <c r="G350" s="3">
        <v>759</v>
      </c>
      <c r="H350" s="3">
        <v>196.5</v>
      </c>
      <c r="I350" s="3">
        <v>149143.5</v>
      </c>
      <c r="J350" s="3">
        <v>21.13</v>
      </c>
    </row>
    <row r="351" spans="1:10" x14ac:dyDescent="0.25">
      <c r="A351" s="2">
        <v>45137</v>
      </c>
      <c r="B351">
        <v>2023</v>
      </c>
      <c r="C351" t="s">
        <v>31</v>
      </c>
      <c r="D351">
        <v>7</v>
      </c>
      <c r="E351" t="s">
        <v>23</v>
      </c>
      <c r="F351" t="s">
        <v>14</v>
      </c>
      <c r="G351" s="3">
        <v>317</v>
      </c>
      <c r="H351" s="3">
        <v>59.82</v>
      </c>
      <c r="I351" s="3">
        <v>18962.939999999999</v>
      </c>
      <c r="J351" s="3">
        <v>24.51</v>
      </c>
    </row>
    <row r="352" spans="1:10" x14ac:dyDescent="0.25">
      <c r="A352" s="2">
        <v>45137</v>
      </c>
      <c r="B352">
        <v>2023</v>
      </c>
      <c r="C352" t="s">
        <v>31</v>
      </c>
      <c r="D352">
        <v>7</v>
      </c>
      <c r="E352" t="s">
        <v>23</v>
      </c>
      <c r="F352" t="s">
        <v>15</v>
      </c>
      <c r="G352" s="3">
        <v>587</v>
      </c>
      <c r="H352" s="3">
        <v>27.1</v>
      </c>
      <c r="I352" s="3">
        <v>15907.7</v>
      </c>
      <c r="J352" s="3">
        <v>13.22</v>
      </c>
    </row>
    <row r="353" spans="1:10" x14ac:dyDescent="0.25">
      <c r="A353" s="2">
        <v>45137</v>
      </c>
      <c r="B353">
        <v>2023</v>
      </c>
      <c r="C353" t="s">
        <v>31</v>
      </c>
      <c r="D353">
        <v>7</v>
      </c>
      <c r="E353" t="s">
        <v>23</v>
      </c>
      <c r="F353" t="s">
        <v>17</v>
      </c>
      <c r="G353" s="3">
        <v>135</v>
      </c>
      <c r="H353" s="3">
        <v>184.79</v>
      </c>
      <c r="I353" s="3">
        <v>24946.65</v>
      </c>
      <c r="J353" s="3">
        <v>-13.64</v>
      </c>
    </row>
    <row r="354" spans="1:10" x14ac:dyDescent="0.25">
      <c r="A354" s="2">
        <v>45137</v>
      </c>
      <c r="B354">
        <v>2023</v>
      </c>
      <c r="C354" t="s">
        <v>31</v>
      </c>
      <c r="D354">
        <v>7</v>
      </c>
      <c r="E354" t="s">
        <v>23</v>
      </c>
      <c r="F354" t="s">
        <v>18</v>
      </c>
      <c r="G354" s="3">
        <v>678</v>
      </c>
      <c r="H354" s="3">
        <v>151.58000000000001</v>
      </c>
      <c r="I354" s="3">
        <v>102771.24</v>
      </c>
      <c r="J354" s="3">
        <v>-7.3</v>
      </c>
    </row>
    <row r="355" spans="1:10" x14ac:dyDescent="0.25">
      <c r="A355" s="2">
        <v>45137</v>
      </c>
      <c r="B355">
        <v>2023</v>
      </c>
      <c r="C355" t="s">
        <v>31</v>
      </c>
      <c r="D355">
        <v>7</v>
      </c>
      <c r="E355" t="s">
        <v>23</v>
      </c>
      <c r="F355" t="s">
        <v>19</v>
      </c>
      <c r="G355" s="3">
        <v>547</v>
      </c>
      <c r="H355" s="3">
        <v>95.92</v>
      </c>
      <c r="I355" s="3">
        <v>52468.24</v>
      </c>
      <c r="J355" s="3">
        <v>16.809999999999999</v>
      </c>
    </row>
    <row r="356" spans="1:10" x14ac:dyDescent="0.25">
      <c r="A356" s="2">
        <v>45137</v>
      </c>
      <c r="B356">
        <v>2023</v>
      </c>
      <c r="C356" t="s">
        <v>31</v>
      </c>
      <c r="D356">
        <v>7</v>
      </c>
      <c r="E356" t="s">
        <v>23</v>
      </c>
      <c r="F356" t="s">
        <v>20</v>
      </c>
      <c r="G356" s="3">
        <v>272</v>
      </c>
      <c r="H356" s="3">
        <v>175.17</v>
      </c>
      <c r="I356" s="3">
        <v>47646.239999999998</v>
      </c>
      <c r="J356" s="3">
        <v>18.78</v>
      </c>
    </row>
    <row r="357" spans="1:10" x14ac:dyDescent="0.25">
      <c r="A357" s="2">
        <v>45137</v>
      </c>
      <c r="B357">
        <v>2023</v>
      </c>
      <c r="C357" t="s">
        <v>31</v>
      </c>
      <c r="D357">
        <v>7</v>
      </c>
      <c r="E357" t="s">
        <v>23</v>
      </c>
      <c r="F357" t="s">
        <v>21</v>
      </c>
      <c r="G357" s="3">
        <v>451</v>
      </c>
      <c r="H357" s="3">
        <v>114.04</v>
      </c>
      <c r="I357" s="3">
        <v>51432.04</v>
      </c>
      <c r="J357" s="3">
        <v>10.78</v>
      </c>
    </row>
    <row r="358" spans="1:10" x14ac:dyDescent="0.25">
      <c r="A358" s="2">
        <v>45137</v>
      </c>
      <c r="B358">
        <v>2023</v>
      </c>
      <c r="C358" t="s">
        <v>31</v>
      </c>
      <c r="D358">
        <v>7</v>
      </c>
      <c r="E358" t="s">
        <v>13</v>
      </c>
      <c r="F358" t="s">
        <v>12</v>
      </c>
      <c r="G358" s="3">
        <v>713</v>
      </c>
      <c r="H358" s="3">
        <v>188.63</v>
      </c>
      <c r="I358" s="3">
        <v>134493.19</v>
      </c>
      <c r="J358" s="3">
        <v>14.3</v>
      </c>
    </row>
    <row r="359" spans="1:10" x14ac:dyDescent="0.25">
      <c r="A359" s="2">
        <v>45137</v>
      </c>
      <c r="B359">
        <v>2023</v>
      </c>
      <c r="C359" t="s">
        <v>31</v>
      </c>
      <c r="D359">
        <v>7</v>
      </c>
      <c r="E359" t="s">
        <v>23</v>
      </c>
      <c r="F359" t="s">
        <v>25</v>
      </c>
      <c r="G359" s="3">
        <v>237</v>
      </c>
      <c r="H359" s="3">
        <v>106.59</v>
      </c>
      <c r="I359" s="3">
        <v>25261.83</v>
      </c>
      <c r="J359" s="3">
        <v>20.399999999999999</v>
      </c>
    </row>
    <row r="360" spans="1:10" x14ac:dyDescent="0.25">
      <c r="A360" s="2">
        <v>45137</v>
      </c>
      <c r="B360">
        <v>2023</v>
      </c>
      <c r="C360" t="s">
        <v>31</v>
      </c>
      <c r="D360">
        <v>7</v>
      </c>
      <c r="E360" t="s">
        <v>23</v>
      </c>
      <c r="F360" t="s">
        <v>12</v>
      </c>
      <c r="G360" s="3">
        <v>710</v>
      </c>
      <c r="H360" s="3">
        <v>156.63</v>
      </c>
      <c r="I360" s="3">
        <v>111207.3</v>
      </c>
      <c r="J360" s="3">
        <v>13.96</v>
      </c>
    </row>
    <row r="361" spans="1:10" x14ac:dyDescent="0.25">
      <c r="A361" s="2">
        <v>45137</v>
      </c>
      <c r="B361">
        <v>2023</v>
      </c>
      <c r="C361" t="s">
        <v>31</v>
      </c>
      <c r="D361">
        <v>7</v>
      </c>
      <c r="E361" t="s">
        <v>23</v>
      </c>
      <c r="F361" t="s">
        <v>22</v>
      </c>
      <c r="G361" s="3">
        <v>575</v>
      </c>
      <c r="H361" s="3">
        <v>127.33</v>
      </c>
      <c r="I361" s="3">
        <v>73214.75</v>
      </c>
      <c r="J361" s="3">
        <v>-5.8</v>
      </c>
    </row>
    <row r="362" spans="1:10" x14ac:dyDescent="0.25">
      <c r="A362" s="2">
        <v>45137</v>
      </c>
      <c r="B362">
        <v>2023</v>
      </c>
      <c r="C362" t="s">
        <v>31</v>
      </c>
      <c r="D362">
        <v>7</v>
      </c>
      <c r="E362" t="s">
        <v>26</v>
      </c>
      <c r="F362" t="s">
        <v>25</v>
      </c>
      <c r="G362" s="3">
        <v>276</v>
      </c>
      <c r="H362" s="3">
        <v>190.88</v>
      </c>
      <c r="I362" s="3">
        <v>52682.879999999997</v>
      </c>
      <c r="J362" s="3">
        <v>0.87</v>
      </c>
    </row>
    <row r="363" spans="1:10" x14ac:dyDescent="0.25">
      <c r="A363" s="2">
        <v>45137</v>
      </c>
      <c r="B363">
        <v>2023</v>
      </c>
      <c r="C363" t="s">
        <v>31</v>
      </c>
      <c r="D363">
        <v>7</v>
      </c>
      <c r="E363" t="s">
        <v>26</v>
      </c>
      <c r="F363" t="s">
        <v>21</v>
      </c>
      <c r="G363" s="3">
        <v>198</v>
      </c>
      <c r="H363" s="3">
        <v>170.67</v>
      </c>
      <c r="I363" s="3">
        <v>33792.660000000003</v>
      </c>
      <c r="J363" s="3">
        <v>2.4900000000000002</v>
      </c>
    </row>
    <row r="364" spans="1:10" x14ac:dyDescent="0.25">
      <c r="A364" s="2">
        <v>45137</v>
      </c>
      <c r="B364">
        <v>2023</v>
      </c>
      <c r="C364" t="s">
        <v>31</v>
      </c>
      <c r="D364">
        <v>7</v>
      </c>
      <c r="E364" t="s">
        <v>26</v>
      </c>
      <c r="F364" t="s">
        <v>22</v>
      </c>
      <c r="G364" s="3">
        <v>725</v>
      </c>
      <c r="H364" s="3">
        <v>149.43</v>
      </c>
      <c r="I364" s="3">
        <v>108336.75</v>
      </c>
      <c r="J364" s="3">
        <v>-3.12</v>
      </c>
    </row>
    <row r="365" spans="1:10" x14ac:dyDescent="0.25">
      <c r="A365" s="2">
        <v>45137</v>
      </c>
      <c r="B365">
        <v>2023</v>
      </c>
      <c r="C365" t="s">
        <v>31</v>
      </c>
      <c r="D365">
        <v>7</v>
      </c>
      <c r="E365" t="s">
        <v>11</v>
      </c>
      <c r="F365" t="s">
        <v>12</v>
      </c>
      <c r="G365" s="3">
        <v>758</v>
      </c>
      <c r="H365" s="3">
        <v>81.53</v>
      </c>
      <c r="I365" s="3">
        <v>61799.74</v>
      </c>
      <c r="J365" s="3">
        <v>-4.62</v>
      </c>
    </row>
    <row r="366" spans="1:10" x14ac:dyDescent="0.25">
      <c r="A366" s="2">
        <v>45137</v>
      </c>
      <c r="B366">
        <v>2023</v>
      </c>
      <c r="C366" t="s">
        <v>31</v>
      </c>
      <c r="D366">
        <v>7</v>
      </c>
      <c r="E366" t="s">
        <v>11</v>
      </c>
      <c r="F366" t="s">
        <v>24</v>
      </c>
      <c r="G366" s="3">
        <v>435</v>
      </c>
      <c r="H366" s="3">
        <v>85.35</v>
      </c>
      <c r="I366" s="3">
        <v>37127.25</v>
      </c>
      <c r="J366" s="3">
        <v>-13.63</v>
      </c>
    </row>
    <row r="367" spans="1:10" x14ac:dyDescent="0.25">
      <c r="A367" s="2">
        <v>45137</v>
      </c>
      <c r="B367">
        <v>2023</v>
      </c>
      <c r="C367" t="s">
        <v>31</v>
      </c>
      <c r="D367">
        <v>7</v>
      </c>
      <c r="E367" t="s">
        <v>11</v>
      </c>
      <c r="F367" t="s">
        <v>14</v>
      </c>
      <c r="G367" s="3">
        <v>581</v>
      </c>
      <c r="H367" s="3">
        <v>132.35</v>
      </c>
      <c r="I367" s="3">
        <v>76895.350000000006</v>
      </c>
      <c r="J367" s="3">
        <v>1.38</v>
      </c>
    </row>
    <row r="368" spans="1:10" x14ac:dyDescent="0.25">
      <c r="A368" s="2">
        <v>45137</v>
      </c>
      <c r="B368">
        <v>2023</v>
      </c>
      <c r="C368" t="s">
        <v>31</v>
      </c>
      <c r="D368">
        <v>7</v>
      </c>
      <c r="E368" t="s">
        <v>11</v>
      </c>
      <c r="F368" t="s">
        <v>15</v>
      </c>
      <c r="G368" s="3">
        <v>783</v>
      </c>
      <c r="H368" s="3">
        <v>85.3</v>
      </c>
      <c r="I368" s="3">
        <v>66789.899999999994</v>
      </c>
      <c r="J368" s="3">
        <v>19.440000000000001</v>
      </c>
    </row>
    <row r="369" spans="1:10" x14ac:dyDescent="0.25">
      <c r="A369" s="2">
        <v>45137</v>
      </c>
      <c r="B369">
        <v>2023</v>
      </c>
      <c r="C369" t="s">
        <v>31</v>
      </c>
      <c r="D369">
        <v>7</v>
      </c>
      <c r="E369" t="s">
        <v>11</v>
      </c>
      <c r="F369" t="s">
        <v>16</v>
      </c>
      <c r="G369" s="3">
        <v>549</v>
      </c>
      <c r="H369" s="3">
        <v>195.42</v>
      </c>
      <c r="I369" s="3">
        <v>107285.58</v>
      </c>
      <c r="J369" s="3">
        <v>16.190000000000001</v>
      </c>
    </row>
    <row r="370" spans="1:10" x14ac:dyDescent="0.25">
      <c r="A370" s="2">
        <v>45137</v>
      </c>
      <c r="B370">
        <v>2023</v>
      </c>
      <c r="C370" t="s">
        <v>31</v>
      </c>
      <c r="D370">
        <v>7</v>
      </c>
      <c r="E370" t="s">
        <v>11</v>
      </c>
      <c r="F370" t="s">
        <v>18</v>
      </c>
      <c r="G370" s="3">
        <v>776</v>
      </c>
      <c r="H370" s="3">
        <v>163.97</v>
      </c>
      <c r="I370" s="3">
        <v>127240.72</v>
      </c>
      <c r="J370" s="3">
        <v>2.0099999999999998</v>
      </c>
    </row>
    <row r="371" spans="1:10" x14ac:dyDescent="0.25">
      <c r="A371" s="2">
        <v>45137</v>
      </c>
      <c r="B371">
        <v>2023</v>
      </c>
      <c r="C371" t="s">
        <v>31</v>
      </c>
      <c r="D371">
        <v>7</v>
      </c>
      <c r="E371" t="s">
        <v>11</v>
      </c>
      <c r="F371" t="s">
        <v>19</v>
      </c>
      <c r="G371" s="3">
        <v>164</v>
      </c>
      <c r="H371" s="3">
        <v>112.24</v>
      </c>
      <c r="I371" s="3">
        <v>18407.36</v>
      </c>
      <c r="J371" s="3">
        <v>14.67</v>
      </c>
    </row>
    <row r="372" spans="1:10" x14ac:dyDescent="0.25">
      <c r="A372" s="2">
        <v>45137</v>
      </c>
      <c r="B372">
        <v>2023</v>
      </c>
      <c r="C372" t="s">
        <v>31</v>
      </c>
      <c r="D372">
        <v>7</v>
      </c>
      <c r="E372" t="s">
        <v>11</v>
      </c>
      <c r="F372" t="s">
        <v>20</v>
      </c>
      <c r="G372" s="3">
        <v>286</v>
      </c>
      <c r="H372" s="3">
        <v>92.46</v>
      </c>
      <c r="I372" s="3">
        <v>26443.56</v>
      </c>
      <c r="J372" s="3">
        <v>-6.28</v>
      </c>
    </row>
    <row r="373" spans="1:10" x14ac:dyDescent="0.25">
      <c r="A373" s="2">
        <v>45137</v>
      </c>
      <c r="B373">
        <v>2023</v>
      </c>
      <c r="C373" t="s">
        <v>31</v>
      </c>
      <c r="D373">
        <v>7</v>
      </c>
      <c r="E373" t="s">
        <v>11</v>
      </c>
      <c r="F373" t="s">
        <v>21</v>
      </c>
      <c r="G373" s="3">
        <v>327</v>
      </c>
      <c r="H373" s="3">
        <v>170.29</v>
      </c>
      <c r="I373" s="3">
        <v>55684.83</v>
      </c>
      <c r="J373" s="3">
        <v>24.38</v>
      </c>
    </row>
    <row r="374" spans="1:10" x14ac:dyDescent="0.25">
      <c r="A374" s="2">
        <v>45137</v>
      </c>
      <c r="B374">
        <v>2023</v>
      </c>
      <c r="C374" t="s">
        <v>31</v>
      </c>
      <c r="D374">
        <v>7</v>
      </c>
      <c r="E374" t="s">
        <v>11</v>
      </c>
      <c r="F374" t="s">
        <v>17</v>
      </c>
      <c r="G374" s="3">
        <v>642</v>
      </c>
      <c r="H374" s="3">
        <v>176.32</v>
      </c>
      <c r="I374" s="3">
        <v>113197.44</v>
      </c>
      <c r="J374" s="3">
        <v>4.5</v>
      </c>
    </row>
    <row r="375" spans="1:10" x14ac:dyDescent="0.25">
      <c r="A375" s="2">
        <v>45137</v>
      </c>
      <c r="B375">
        <v>2023</v>
      </c>
      <c r="C375" t="s">
        <v>31</v>
      </c>
      <c r="D375">
        <v>7</v>
      </c>
      <c r="E375" t="s">
        <v>11</v>
      </c>
      <c r="F375" t="s">
        <v>25</v>
      </c>
      <c r="G375" s="3">
        <v>124</v>
      </c>
      <c r="H375" s="3">
        <v>168.07</v>
      </c>
      <c r="I375" s="3">
        <v>20840.68</v>
      </c>
      <c r="J375" s="3">
        <v>6.19</v>
      </c>
    </row>
    <row r="376" spans="1:10" x14ac:dyDescent="0.25">
      <c r="A376" s="2">
        <v>45137</v>
      </c>
      <c r="B376">
        <v>2023</v>
      </c>
      <c r="C376" t="s">
        <v>31</v>
      </c>
      <c r="D376">
        <v>7</v>
      </c>
      <c r="E376" t="s">
        <v>11</v>
      </c>
      <c r="F376" t="s">
        <v>22</v>
      </c>
      <c r="G376" s="3">
        <v>491</v>
      </c>
      <c r="H376" s="3">
        <v>182.1</v>
      </c>
      <c r="I376" s="3">
        <v>89411.1</v>
      </c>
      <c r="J376" s="3">
        <v>12.65</v>
      </c>
    </row>
    <row r="377" spans="1:10" x14ac:dyDescent="0.25">
      <c r="A377" s="2">
        <v>45137</v>
      </c>
      <c r="B377">
        <v>2023</v>
      </c>
      <c r="C377" t="s">
        <v>31</v>
      </c>
      <c r="D377">
        <v>7</v>
      </c>
      <c r="E377" t="s">
        <v>26</v>
      </c>
      <c r="F377" t="s">
        <v>19</v>
      </c>
      <c r="G377" s="3">
        <v>179</v>
      </c>
      <c r="H377" s="3">
        <v>49.93</v>
      </c>
      <c r="I377" s="3">
        <v>8937.4699999999993</v>
      </c>
      <c r="J377" s="3">
        <v>14.52</v>
      </c>
    </row>
    <row r="378" spans="1:10" x14ac:dyDescent="0.25">
      <c r="A378" s="2">
        <v>45137</v>
      </c>
      <c r="B378">
        <v>2023</v>
      </c>
      <c r="C378" t="s">
        <v>31</v>
      </c>
      <c r="D378">
        <v>7</v>
      </c>
      <c r="E378" t="s">
        <v>26</v>
      </c>
      <c r="F378" t="s">
        <v>18</v>
      </c>
      <c r="G378" s="3">
        <v>525</v>
      </c>
      <c r="H378" s="3">
        <v>158.76</v>
      </c>
      <c r="I378" s="3">
        <v>83349</v>
      </c>
      <c r="J378" s="3">
        <v>1.88</v>
      </c>
    </row>
    <row r="379" spans="1:10" x14ac:dyDescent="0.25">
      <c r="A379" s="2">
        <v>45137</v>
      </c>
      <c r="B379">
        <v>2023</v>
      </c>
      <c r="C379" t="s">
        <v>31</v>
      </c>
      <c r="D379">
        <v>7</v>
      </c>
      <c r="E379" t="s">
        <v>26</v>
      </c>
      <c r="F379" t="s">
        <v>17</v>
      </c>
      <c r="G379" s="3">
        <v>504</v>
      </c>
      <c r="H379" s="3">
        <v>123.19</v>
      </c>
      <c r="I379" s="3">
        <v>62087.76</v>
      </c>
      <c r="J379" s="3">
        <v>18.52</v>
      </c>
    </row>
    <row r="380" spans="1:10" x14ac:dyDescent="0.25">
      <c r="A380" s="2">
        <v>45137</v>
      </c>
      <c r="B380">
        <v>2023</v>
      </c>
      <c r="C380" t="s">
        <v>31</v>
      </c>
      <c r="D380">
        <v>7</v>
      </c>
      <c r="E380" t="s">
        <v>26</v>
      </c>
      <c r="F380" t="s">
        <v>16</v>
      </c>
      <c r="G380" s="3">
        <v>217</v>
      </c>
      <c r="H380" s="3">
        <v>65.13</v>
      </c>
      <c r="I380" s="3">
        <v>14133.21</v>
      </c>
      <c r="J380" s="3">
        <v>10.32</v>
      </c>
    </row>
    <row r="381" spans="1:10" x14ac:dyDescent="0.25">
      <c r="A381" s="2">
        <v>45137</v>
      </c>
      <c r="B381">
        <v>2023</v>
      </c>
      <c r="C381" t="s">
        <v>31</v>
      </c>
      <c r="D381">
        <v>7</v>
      </c>
      <c r="E381" t="s">
        <v>26</v>
      </c>
      <c r="F381" t="s">
        <v>20</v>
      </c>
      <c r="G381" s="3">
        <v>742</v>
      </c>
      <c r="H381" s="3">
        <v>128.57</v>
      </c>
      <c r="I381" s="3">
        <v>95398.94</v>
      </c>
      <c r="J381" s="3">
        <v>-5.19</v>
      </c>
    </row>
    <row r="382" spans="1:10" x14ac:dyDescent="0.25">
      <c r="A382" s="2">
        <v>45137</v>
      </c>
      <c r="B382">
        <v>2023</v>
      </c>
      <c r="C382" t="s">
        <v>31</v>
      </c>
      <c r="D382">
        <v>7</v>
      </c>
      <c r="E382" t="s">
        <v>26</v>
      </c>
      <c r="F382" t="s">
        <v>14</v>
      </c>
      <c r="G382" s="3">
        <v>637</v>
      </c>
      <c r="H382" s="3">
        <v>57.16</v>
      </c>
      <c r="I382" s="3">
        <v>36410.92</v>
      </c>
      <c r="J382" s="3">
        <v>-14.56</v>
      </c>
    </row>
    <row r="383" spans="1:10" x14ac:dyDescent="0.25">
      <c r="A383" s="2">
        <v>45137</v>
      </c>
      <c r="B383">
        <v>2023</v>
      </c>
      <c r="C383" t="s">
        <v>31</v>
      </c>
      <c r="D383">
        <v>7</v>
      </c>
      <c r="E383" t="s">
        <v>26</v>
      </c>
      <c r="F383" t="s">
        <v>24</v>
      </c>
      <c r="G383" s="3">
        <v>66</v>
      </c>
      <c r="H383" s="3">
        <v>92.94</v>
      </c>
      <c r="I383" s="3">
        <v>6134.04</v>
      </c>
      <c r="J383" s="3">
        <v>4.9000000000000004</v>
      </c>
    </row>
    <row r="384" spans="1:10" x14ac:dyDescent="0.25">
      <c r="A384" s="2">
        <v>45137</v>
      </c>
      <c r="B384">
        <v>2023</v>
      </c>
      <c r="C384" t="s">
        <v>31</v>
      </c>
      <c r="D384">
        <v>7</v>
      </c>
      <c r="E384" t="s">
        <v>26</v>
      </c>
      <c r="F384" t="s">
        <v>12</v>
      </c>
      <c r="G384" s="3">
        <v>91</v>
      </c>
      <c r="H384" s="3">
        <v>123.77</v>
      </c>
      <c r="I384" s="3">
        <v>11263.07</v>
      </c>
      <c r="J384" s="3">
        <v>-4.04</v>
      </c>
    </row>
    <row r="385" spans="1:10" x14ac:dyDescent="0.25">
      <c r="A385" s="2">
        <v>45137</v>
      </c>
      <c r="B385">
        <v>2023</v>
      </c>
      <c r="C385" t="s">
        <v>31</v>
      </c>
      <c r="D385">
        <v>7</v>
      </c>
      <c r="E385" t="s">
        <v>26</v>
      </c>
      <c r="F385" t="s">
        <v>15</v>
      </c>
      <c r="G385" s="3">
        <v>76</v>
      </c>
      <c r="H385" s="3">
        <v>182</v>
      </c>
      <c r="I385" s="3">
        <v>13832</v>
      </c>
      <c r="J385" s="3">
        <v>19.96</v>
      </c>
    </row>
    <row r="386" spans="1:10" x14ac:dyDescent="0.25">
      <c r="A386" s="2">
        <v>45167</v>
      </c>
      <c r="B386">
        <v>2023</v>
      </c>
      <c r="C386" t="s">
        <v>32</v>
      </c>
      <c r="D386">
        <v>8</v>
      </c>
      <c r="E386" t="s">
        <v>13</v>
      </c>
      <c r="F386" t="s">
        <v>22</v>
      </c>
      <c r="G386" s="3">
        <v>173</v>
      </c>
      <c r="H386" s="3">
        <v>87.08</v>
      </c>
      <c r="I386" s="3">
        <v>15064.84</v>
      </c>
      <c r="J386" s="3">
        <v>-4.6100000000000003</v>
      </c>
    </row>
    <row r="387" spans="1:10" x14ac:dyDescent="0.25">
      <c r="A387" s="2">
        <v>45167</v>
      </c>
      <c r="B387">
        <v>2023</v>
      </c>
      <c r="C387" t="s">
        <v>32</v>
      </c>
      <c r="D387">
        <v>8</v>
      </c>
      <c r="E387" t="s">
        <v>13</v>
      </c>
      <c r="F387" t="s">
        <v>14</v>
      </c>
      <c r="G387" s="3">
        <v>539</v>
      </c>
      <c r="H387" s="3">
        <v>112.74</v>
      </c>
      <c r="I387" s="3">
        <v>60766.86</v>
      </c>
      <c r="J387" s="3">
        <v>4.6500000000000004</v>
      </c>
    </row>
    <row r="388" spans="1:10" x14ac:dyDescent="0.25">
      <c r="A388" s="2">
        <v>45167</v>
      </c>
      <c r="B388">
        <v>2023</v>
      </c>
      <c r="C388" t="s">
        <v>32</v>
      </c>
      <c r="D388">
        <v>8</v>
      </c>
      <c r="E388" t="s">
        <v>13</v>
      </c>
      <c r="F388" t="s">
        <v>15</v>
      </c>
      <c r="G388" s="3">
        <v>194</v>
      </c>
      <c r="H388" s="3">
        <v>47.7</v>
      </c>
      <c r="I388" s="3">
        <v>9253.7999999999993</v>
      </c>
      <c r="J388" s="3">
        <v>17.63</v>
      </c>
    </row>
    <row r="389" spans="1:10" x14ac:dyDescent="0.25">
      <c r="A389" s="2">
        <v>45167</v>
      </c>
      <c r="B389">
        <v>2023</v>
      </c>
      <c r="C389" t="s">
        <v>32</v>
      </c>
      <c r="D389">
        <v>8</v>
      </c>
      <c r="E389" t="s">
        <v>13</v>
      </c>
      <c r="F389" t="s">
        <v>16</v>
      </c>
      <c r="G389" s="3">
        <v>169</v>
      </c>
      <c r="H389" s="3">
        <v>154.62</v>
      </c>
      <c r="I389" s="3">
        <v>26130.78</v>
      </c>
      <c r="J389" s="3">
        <v>-13.61</v>
      </c>
    </row>
    <row r="390" spans="1:10" x14ac:dyDescent="0.25">
      <c r="A390" s="2">
        <v>45167</v>
      </c>
      <c r="B390">
        <v>2023</v>
      </c>
      <c r="C390" t="s">
        <v>32</v>
      </c>
      <c r="D390">
        <v>8</v>
      </c>
      <c r="E390" t="s">
        <v>13</v>
      </c>
      <c r="F390" t="s">
        <v>17</v>
      </c>
      <c r="G390" s="3">
        <v>629</v>
      </c>
      <c r="H390" s="3">
        <v>124.42</v>
      </c>
      <c r="I390" s="3">
        <v>78260.179999999993</v>
      </c>
      <c r="J390" s="3">
        <v>-11.34</v>
      </c>
    </row>
    <row r="391" spans="1:10" x14ac:dyDescent="0.25">
      <c r="A391" s="2">
        <v>45167</v>
      </c>
      <c r="B391">
        <v>2023</v>
      </c>
      <c r="C391" t="s">
        <v>32</v>
      </c>
      <c r="D391">
        <v>8</v>
      </c>
      <c r="E391" t="s">
        <v>13</v>
      </c>
      <c r="F391" t="s">
        <v>18</v>
      </c>
      <c r="G391" s="3">
        <v>666</v>
      </c>
      <c r="H391" s="3">
        <v>90.41</v>
      </c>
      <c r="I391" s="3">
        <v>60213.06</v>
      </c>
      <c r="J391" s="3">
        <v>-4.08</v>
      </c>
    </row>
    <row r="392" spans="1:10" x14ac:dyDescent="0.25">
      <c r="A392" s="2">
        <v>45167</v>
      </c>
      <c r="B392">
        <v>2023</v>
      </c>
      <c r="C392" t="s">
        <v>32</v>
      </c>
      <c r="D392">
        <v>8</v>
      </c>
      <c r="E392" t="s">
        <v>13</v>
      </c>
      <c r="F392" t="s">
        <v>19</v>
      </c>
      <c r="G392" s="3">
        <v>590</v>
      </c>
      <c r="H392" s="3">
        <v>179.97</v>
      </c>
      <c r="I392" s="3">
        <v>106182.3</v>
      </c>
      <c r="J392" s="3">
        <v>23.23</v>
      </c>
    </row>
    <row r="393" spans="1:10" x14ac:dyDescent="0.25">
      <c r="A393" s="2">
        <v>45167</v>
      </c>
      <c r="B393">
        <v>2023</v>
      </c>
      <c r="C393" t="s">
        <v>32</v>
      </c>
      <c r="D393">
        <v>8</v>
      </c>
      <c r="E393" t="s">
        <v>13</v>
      </c>
      <c r="F393" t="s">
        <v>20</v>
      </c>
      <c r="G393" s="3">
        <v>381</v>
      </c>
      <c r="H393" s="3">
        <v>26.38</v>
      </c>
      <c r="I393" s="3">
        <v>10050.780000000001</v>
      </c>
      <c r="J393" s="3">
        <v>-1.84</v>
      </c>
    </row>
    <row r="394" spans="1:10" x14ac:dyDescent="0.25">
      <c r="A394" s="2">
        <v>45167</v>
      </c>
      <c r="B394">
        <v>2023</v>
      </c>
      <c r="C394" t="s">
        <v>32</v>
      </c>
      <c r="D394">
        <v>8</v>
      </c>
      <c r="E394" t="s">
        <v>13</v>
      </c>
      <c r="F394" t="s">
        <v>21</v>
      </c>
      <c r="G394" s="3">
        <v>586</v>
      </c>
      <c r="H394" s="3">
        <v>119.15</v>
      </c>
      <c r="I394" s="3">
        <v>69821.899999999994</v>
      </c>
      <c r="J394" s="3">
        <v>-11.52</v>
      </c>
    </row>
    <row r="395" spans="1:10" x14ac:dyDescent="0.25">
      <c r="A395" s="2">
        <v>45167</v>
      </c>
      <c r="B395">
        <v>2023</v>
      </c>
      <c r="C395" t="s">
        <v>32</v>
      </c>
      <c r="D395">
        <v>8</v>
      </c>
      <c r="E395" t="s">
        <v>23</v>
      </c>
      <c r="F395" t="s">
        <v>12</v>
      </c>
      <c r="G395" s="3">
        <v>365</v>
      </c>
      <c r="H395" s="3">
        <v>39.700000000000003</v>
      </c>
      <c r="I395" s="3">
        <v>14490.5</v>
      </c>
      <c r="J395" s="3">
        <v>20.78</v>
      </c>
    </row>
    <row r="396" spans="1:10" x14ac:dyDescent="0.25">
      <c r="A396" s="2">
        <v>45167</v>
      </c>
      <c r="B396">
        <v>2023</v>
      </c>
      <c r="C396" t="s">
        <v>32</v>
      </c>
      <c r="D396">
        <v>8</v>
      </c>
      <c r="E396" t="s">
        <v>13</v>
      </c>
      <c r="F396" t="s">
        <v>24</v>
      </c>
      <c r="G396" s="3">
        <v>148</v>
      </c>
      <c r="H396" s="3">
        <v>127.51</v>
      </c>
      <c r="I396" s="3">
        <v>18871.48</v>
      </c>
      <c r="J396" s="3">
        <v>6</v>
      </c>
    </row>
    <row r="397" spans="1:10" x14ac:dyDescent="0.25">
      <c r="A397" s="2">
        <v>45167</v>
      </c>
      <c r="B397">
        <v>2023</v>
      </c>
      <c r="C397" t="s">
        <v>32</v>
      </c>
      <c r="D397">
        <v>8</v>
      </c>
      <c r="E397" t="s">
        <v>23</v>
      </c>
      <c r="F397" t="s">
        <v>14</v>
      </c>
      <c r="G397" s="3">
        <v>367</v>
      </c>
      <c r="H397" s="3">
        <v>126.63</v>
      </c>
      <c r="I397" s="3">
        <v>46473.21</v>
      </c>
      <c r="J397" s="3">
        <v>17.989999999999998</v>
      </c>
    </row>
    <row r="398" spans="1:10" x14ac:dyDescent="0.25">
      <c r="A398" s="2">
        <v>45167</v>
      </c>
      <c r="B398">
        <v>2023</v>
      </c>
      <c r="C398" t="s">
        <v>32</v>
      </c>
      <c r="D398">
        <v>8</v>
      </c>
      <c r="E398" t="s">
        <v>23</v>
      </c>
      <c r="F398" t="s">
        <v>15</v>
      </c>
      <c r="G398" s="3">
        <v>617</v>
      </c>
      <c r="H398" s="3">
        <v>139.18</v>
      </c>
      <c r="I398" s="3">
        <v>85874.06</v>
      </c>
      <c r="J398" s="3">
        <v>6.75</v>
      </c>
    </row>
    <row r="399" spans="1:10" x14ac:dyDescent="0.25">
      <c r="A399" s="2">
        <v>45167</v>
      </c>
      <c r="B399">
        <v>2023</v>
      </c>
      <c r="C399" t="s">
        <v>32</v>
      </c>
      <c r="D399">
        <v>8</v>
      </c>
      <c r="E399" t="s">
        <v>23</v>
      </c>
      <c r="F399" t="s">
        <v>16</v>
      </c>
      <c r="G399" s="3">
        <v>798</v>
      </c>
      <c r="H399" s="3">
        <v>152.1</v>
      </c>
      <c r="I399" s="3">
        <v>121375.8</v>
      </c>
      <c r="J399" s="3">
        <v>5.85</v>
      </c>
    </row>
    <row r="400" spans="1:10" x14ac:dyDescent="0.25">
      <c r="A400" s="2">
        <v>45167</v>
      </c>
      <c r="B400">
        <v>2023</v>
      </c>
      <c r="C400" t="s">
        <v>32</v>
      </c>
      <c r="D400">
        <v>8</v>
      </c>
      <c r="E400" t="s">
        <v>23</v>
      </c>
      <c r="F400" t="s">
        <v>17</v>
      </c>
      <c r="G400" s="3">
        <v>385</v>
      </c>
      <c r="H400" s="3">
        <v>138.52000000000001</v>
      </c>
      <c r="I400" s="3">
        <v>53330.2</v>
      </c>
      <c r="J400" s="3">
        <v>19.02</v>
      </c>
    </row>
    <row r="401" spans="1:10" x14ac:dyDescent="0.25">
      <c r="A401" s="2">
        <v>45167</v>
      </c>
      <c r="B401">
        <v>2023</v>
      </c>
      <c r="C401" t="s">
        <v>32</v>
      </c>
      <c r="D401">
        <v>8</v>
      </c>
      <c r="E401" t="s">
        <v>23</v>
      </c>
      <c r="F401" t="s">
        <v>18</v>
      </c>
      <c r="G401" s="3">
        <v>620</v>
      </c>
      <c r="H401" s="3">
        <v>48.87</v>
      </c>
      <c r="I401" s="3">
        <v>30299.4</v>
      </c>
      <c r="J401" s="3">
        <v>-1.64</v>
      </c>
    </row>
    <row r="402" spans="1:10" x14ac:dyDescent="0.25">
      <c r="A402" s="2">
        <v>45167</v>
      </c>
      <c r="B402">
        <v>2023</v>
      </c>
      <c r="C402" t="s">
        <v>32</v>
      </c>
      <c r="D402">
        <v>8</v>
      </c>
      <c r="E402" t="s">
        <v>23</v>
      </c>
      <c r="F402" t="s">
        <v>19</v>
      </c>
      <c r="G402" s="3">
        <v>606</v>
      </c>
      <c r="H402" s="3">
        <v>145.54</v>
      </c>
      <c r="I402" s="3">
        <v>88197.24</v>
      </c>
      <c r="J402" s="3">
        <v>12.21</v>
      </c>
    </row>
    <row r="403" spans="1:10" x14ac:dyDescent="0.25">
      <c r="A403" s="2">
        <v>45167</v>
      </c>
      <c r="B403">
        <v>2023</v>
      </c>
      <c r="C403" t="s">
        <v>32</v>
      </c>
      <c r="D403">
        <v>8</v>
      </c>
      <c r="E403" t="s">
        <v>23</v>
      </c>
      <c r="F403" t="s">
        <v>20</v>
      </c>
      <c r="G403" s="3">
        <v>240</v>
      </c>
      <c r="H403" s="3">
        <v>145.82</v>
      </c>
      <c r="I403" s="3">
        <v>34996.800000000003</v>
      </c>
      <c r="J403" s="3">
        <v>-7.43</v>
      </c>
    </row>
    <row r="404" spans="1:10" x14ac:dyDescent="0.25">
      <c r="A404" s="2">
        <v>45167</v>
      </c>
      <c r="B404">
        <v>2023</v>
      </c>
      <c r="C404" t="s">
        <v>32</v>
      </c>
      <c r="D404">
        <v>8</v>
      </c>
      <c r="E404" t="s">
        <v>23</v>
      </c>
      <c r="F404" t="s">
        <v>21</v>
      </c>
      <c r="G404" s="3">
        <v>182</v>
      </c>
      <c r="H404" s="3">
        <v>178.56</v>
      </c>
      <c r="I404" s="3">
        <v>32497.919999999998</v>
      </c>
      <c r="J404" s="3">
        <v>19.87</v>
      </c>
    </row>
    <row r="405" spans="1:10" x14ac:dyDescent="0.25">
      <c r="A405" s="2">
        <v>45167</v>
      </c>
      <c r="B405">
        <v>2023</v>
      </c>
      <c r="C405" t="s">
        <v>32</v>
      </c>
      <c r="D405">
        <v>8</v>
      </c>
      <c r="E405" t="s">
        <v>23</v>
      </c>
      <c r="F405" t="s">
        <v>22</v>
      </c>
      <c r="G405" s="3">
        <v>80</v>
      </c>
      <c r="H405" s="3">
        <v>168.65</v>
      </c>
      <c r="I405" s="3">
        <v>13492</v>
      </c>
      <c r="J405" s="3">
        <v>-9.85</v>
      </c>
    </row>
    <row r="406" spans="1:10" x14ac:dyDescent="0.25">
      <c r="A406" s="2">
        <v>45167</v>
      </c>
      <c r="B406">
        <v>2023</v>
      </c>
      <c r="C406" t="s">
        <v>32</v>
      </c>
      <c r="D406">
        <v>8</v>
      </c>
      <c r="E406" t="s">
        <v>23</v>
      </c>
      <c r="F406" t="s">
        <v>25</v>
      </c>
      <c r="G406" s="3">
        <v>412</v>
      </c>
      <c r="H406" s="3">
        <v>61.15</v>
      </c>
      <c r="I406" s="3">
        <v>25193.8</v>
      </c>
      <c r="J406" s="3">
        <v>21.35</v>
      </c>
    </row>
    <row r="407" spans="1:10" x14ac:dyDescent="0.25">
      <c r="A407" s="2">
        <v>45167</v>
      </c>
      <c r="B407">
        <v>2023</v>
      </c>
      <c r="C407" t="s">
        <v>32</v>
      </c>
      <c r="D407">
        <v>8</v>
      </c>
      <c r="E407" t="s">
        <v>23</v>
      </c>
      <c r="F407" t="s">
        <v>24</v>
      </c>
      <c r="G407" s="3">
        <v>642</v>
      </c>
      <c r="H407" s="3">
        <v>31.07</v>
      </c>
      <c r="I407" s="3">
        <v>19946.939999999999</v>
      </c>
      <c r="J407" s="3">
        <v>20.32</v>
      </c>
    </row>
    <row r="408" spans="1:10" x14ac:dyDescent="0.25">
      <c r="A408" s="2">
        <v>45167</v>
      </c>
      <c r="B408">
        <v>2023</v>
      </c>
      <c r="C408" t="s">
        <v>32</v>
      </c>
      <c r="D408">
        <v>8</v>
      </c>
      <c r="E408" t="s">
        <v>13</v>
      </c>
      <c r="F408" t="s">
        <v>12</v>
      </c>
      <c r="G408" s="3">
        <v>103</v>
      </c>
      <c r="H408" s="3">
        <v>194.44</v>
      </c>
      <c r="I408" s="3">
        <v>20027.32</v>
      </c>
      <c r="J408" s="3">
        <v>20.350000000000001</v>
      </c>
    </row>
    <row r="409" spans="1:10" x14ac:dyDescent="0.25">
      <c r="A409" s="2">
        <v>45167</v>
      </c>
      <c r="B409">
        <v>2023</v>
      </c>
      <c r="C409" t="s">
        <v>32</v>
      </c>
      <c r="D409">
        <v>8</v>
      </c>
      <c r="E409" t="s">
        <v>13</v>
      </c>
      <c r="F409" t="s">
        <v>25</v>
      </c>
      <c r="G409" s="3">
        <v>225</v>
      </c>
      <c r="H409" s="3">
        <v>109.26</v>
      </c>
      <c r="I409" s="3">
        <v>24583.5</v>
      </c>
      <c r="J409" s="3">
        <v>-11.76</v>
      </c>
    </row>
    <row r="410" spans="1:10" x14ac:dyDescent="0.25">
      <c r="A410" s="2">
        <v>45167</v>
      </c>
      <c r="B410">
        <v>2023</v>
      </c>
      <c r="C410" t="s">
        <v>32</v>
      </c>
      <c r="D410">
        <v>8</v>
      </c>
      <c r="E410" t="s">
        <v>26</v>
      </c>
      <c r="F410" t="s">
        <v>22</v>
      </c>
      <c r="G410" s="3">
        <v>379</v>
      </c>
      <c r="H410" s="3">
        <v>28.45</v>
      </c>
      <c r="I410" s="3">
        <v>10782.55</v>
      </c>
      <c r="J410" s="3">
        <v>0.36</v>
      </c>
    </row>
    <row r="411" spans="1:10" x14ac:dyDescent="0.25">
      <c r="A411" s="2">
        <v>45167</v>
      </c>
      <c r="B411">
        <v>2023</v>
      </c>
      <c r="C411" t="s">
        <v>32</v>
      </c>
      <c r="D411">
        <v>8</v>
      </c>
      <c r="E411" t="s">
        <v>11</v>
      </c>
      <c r="F411" t="s">
        <v>24</v>
      </c>
      <c r="G411" s="3">
        <v>413</v>
      </c>
      <c r="H411" s="3">
        <v>123.04</v>
      </c>
      <c r="I411" s="3">
        <v>50815.519999999997</v>
      </c>
      <c r="J411" s="3">
        <v>17.16</v>
      </c>
    </row>
    <row r="412" spans="1:10" x14ac:dyDescent="0.25">
      <c r="A412" s="2">
        <v>45167</v>
      </c>
      <c r="B412">
        <v>2023</v>
      </c>
      <c r="C412" t="s">
        <v>32</v>
      </c>
      <c r="D412">
        <v>8</v>
      </c>
      <c r="E412" t="s">
        <v>11</v>
      </c>
      <c r="F412" t="s">
        <v>14</v>
      </c>
      <c r="G412" s="3">
        <v>565</v>
      </c>
      <c r="H412" s="3">
        <v>162.33000000000001</v>
      </c>
      <c r="I412" s="3">
        <v>91716.45</v>
      </c>
      <c r="J412" s="3">
        <v>-2.25</v>
      </c>
    </row>
    <row r="413" spans="1:10" x14ac:dyDescent="0.25">
      <c r="A413" s="2">
        <v>45167</v>
      </c>
      <c r="B413">
        <v>2023</v>
      </c>
      <c r="C413" t="s">
        <v>32</v>
      </c>
      <c r="D413">
        <v>8</v>
      </c>
      <c r="E413" t="s">
        <v>11</v>
      </c>
      <c r="F413" t="s">
        <v>15</v>
      </c>
      <c r="G413" s="3">
        <v>771</v>
      </c>
      <c r="H413" s="3">
        <v>113.63</v>
      </c>
      <c r="I413" s="3">
        <v>87608.73</v>
      </c>
      <c r="J413" s="3">
        <v>2.0699999999999998</v>
      </c>
    </row>
    <row r="414" spans="1:10" x14ac:dyDescent="0.25">
      <c r="A414" s="2">
        <v>45167</v>
      </c>
      <c r="B414">
        <v>2023</v>
      </c>
      <c r="C414" t="s">
        <v>32</v>
      </c>
      <c r="D414">
        <v>8</v>
      </c>
      <c r="E414" t="s">
        <v>11</v>
      </c>
      <c r="F414" t="s">
        <v>16</v>
      </c>
      <c r="G414" s="3">
        <v>157</v>
      </c>
      <c r="H414" s="3">
        <v>61.93</v>
      </c>
      <c r="I414" s="3">
        <v>9723.01</v>
      </c>
      <c r="J414" s="3">
        <v>-14.02</v>
      </c>
    </row>
    <row r="415" spans="1:10" x14ac:dyDescent="0.25">
      <c r="A415" s="2">
        <v>45167</v>
      </c>
      <c r="B415">
        <v>2023</v>
      </c>
      <c r="C415" t="s">
        <v>32</v>
      </c>
      <c r="D415">
        <v>8</v>
      </c>
      <c r="E415" t="s">
        <v>11</v>
      </c>
      <c r="F415" t="s">
        <v>17</v>
      </c>
      <c r="G415" s="3">
        <v>219</v>
      </c>
      <c r="H415" s="3">
        <v>198.26</v>
      </c>
      <c r="I415" s="3">
        <v>43418.94</v>
      </c>
      <c r="J415" s="3">
        <v>-14.99</v>
      </c>
    </row>
    <row r="416" spans="1:10" x14ac:dyDescent="0.25">
      <c r="A416" s="2">
        <v>45167</v>
      </c>
      <c r="B416">
        <v>2023</v>
      </c>
      <c r="C416" t="s">
        <v>32</v>
      </c>
      <c r="D416">
        <v>8</v>
      </c>
      <c r="E416" t="s">
        <v>11</v>
      </c>
      <c r="F416" t="s">
        <v>18</v>
      </c>
      <c r="G416" s="3">
        <v>190</v>
      </c>
      <c r="H416" s="3">
        <v>89.11</v>
      </c>
      <c r="I416" s="3">
        <v>16930.900000000001</v>
      </c>
      <c r="J416" s="3">
        <v>22.3</v>
      </c>
    </row>
    <row r="417" spans="1:10" x14ac:dyDescent="0.25">
      <c r="A417" s="2">
        <v>45167</v>
      </c>
      <c r="B417">
        <v>2023</v>
      </c>
      <c r="C417" t="s">
        <v>32</v>
      </c>
      <c r="D417">
        <v>8</v>
      </c>
      <c r="E417" t="s">
        <v>11</v>
      </c>
      <c r="F417" t="s">
        <v>19</v>
      </c>
      <c r="G417" s="3">
        <v>88</v>
      </c>
      <c r="H417" s="3">
        <v>21.71</v>
      </c>
      <c r="I417" s="3">
        <v>1910.48</v>
      </c>
      <c r="J417" s="3">
        <v>-12.89</v>
      </c>
    </row>
    <row r="418" spans="1:10" x14ac:dyDescent="0.25">
      <c r="A418" s="2">
        <v>45167</v>
      </c>
      <c r="B418">
        <v>2023</v>
      </c>
      <c r="C418" t="s">
        <v>32</v>
      </c>
      <c r="D418">
        <v>8</v>
      </c>
      <c r="E418" t="s">
        <v>11</v>
      </c>
      <c r="F418" t="s">
        <v>20</v>
      </c>
      <c r="G418" s="3">
        <v>526</v>
      </c>
      <c r="H418" s="3">
        <v>26.77</v>
      </c>
      <c r="I418" s="3">
        <v>14081.02</v>
      </c>
      <c r="J418" s="3">
        <v>4.1900000000000004</v>
      </c>
    </row>
    <row r="419" spans="1:10" x14ac:dyDescent="0.25">
      <c r="A419" s="2">
        <v>45167</v>
      </c>
      <c r="B419">
        <v>2023</v>
      </c>
      <c r="C419" t="s">
        <v>32</v>
      </c>
      <c r="D419">
        <v>8</v>
      </c>
      <c r="E419" t="s">
        <v>11</v>
      </c>
      <c r="F419" t="s">
        <v>21</v>
      </c>
      <c r="G419" s="3">
        <v>321</v>
      </c>
      <c r="H419" s="3">
        <v>177.26</v>
      </c>
      <c r="I419" s="3">
        <v>56900.46</v>
      </c>
      <c r="J419" s="3">
        <v>24.36</v>
      </c>
    </row>
    <row r="420" spans="1:10" x14ac:dyDescent="0.25">
      <c r="A420" s="2">
        <v>45167</v>
      </c>
      <c r="B420">
        <v>2023</v>
      </c>
      <c r="C420" t="s">
        <v>32</v>
      </c>
      <c r="D420">
        <v>8</v>
      </c>
      <c r="E420" t="s">
        <v>11</v>
      </c>
      <c r="F420" t="s">
        <v>22</v>
      </c>
      <c r="G420" s="3">
        <v>315</v>
      </c>
      <c r="H420" s="3">
        <v>36.51</v>
      </c>
      <c r="I420" s="3">
        <v>11500.65</v>
      </c>
      <c r="J420" s="3">
        <v>-1.55</v>
      </c>
    </row>
    <row r="421" spans="1:10" x14ac:dyDescent="0.25">
      <c r="A421" s="2">
        <v>45167</v>
      </c>
      <c r="B421">
        <v>2023</v>
      </c>
      <c r="C421" t="s">
        <v>32</v>
      </c>
      <c r="D421">
        <v>8</v>
      </c>
      <c r="E421" t="s">
        <v>11</v>
      </c>
      <c r="F421" t="s">
        <v>25</v>
      </c>
      <c r="G421" s="3">
        <v>389</v>
      </c>
      <c r="H421" s="3">
        <v>152.76</v>
      </c>
      <c r="I421" s="3">
        <v>59423.64</v>
      </c>
      <c r="J421" s="3">
        <v>-5.45</v>
      </c>
    </row>
    <row r="422" spans="1:10" x14ac:dyDescent="0.25">
      <c r="A422" s="2">
        <v>45167</v>
      </c>
      <c r="B422">
        <v>2023</v>
      </c>
      <c r="C422" t="s">
        <v>32</v>
      </c>
      <c r="D422">
        <v>8</v>
      </c>
      <c r="E422" t="s">
        <v>11</v>
      </c>
      <c r="F422" t="s">
        <v>12</v>
      </c>
      <c r="G422" s="3">
        <v>220</v>
      </c>
      <c r="H422" s="3">
        <v>81.180000000000007</v>
      </c>
      <c r="I422" s="3">
        <v>17859.599999999999</v>
      </c>
      <c r="J422" s="3">
        <v>13.99</v>
      </c>
    </row>
    <row r="423" spans="1:10" x14ac:dyDescent="0.25">
      <c r="A423" s="2">
        <v>45167</v>
      </c>
      <c r="B423">
        <v>2023</v>
      </c>
      <c r="C423" t="s">
        <v>32</v>
      </c>
      <c r="D423">
        <v>8</v>
      </c>
      <c r="E423" t="s">
        <v>26</v>
      </c>
      <c r="F423" t="s">
        <v>12</v>
      </c>
      <c r="G423" s="3">
        <v>52</v>
      </c>
      <c r="H423" s="3">
        <v>104.12</v>
      </c>
      <c r="I423" s="3">
        <v>5414.24</v>
      </c>
      <c r="J423" s="3">
        <v>-3.12</v>
      </c>
    </row>
    <row r="424" spans="1:10" x14ac:dyDescent="0.25">
      <c r="A424" s="2">
        <v>45167</v>
      </c>
      <c r="B424">
        <v>2023</v>
      </c>
      <c r="C424" t="s">
        <v>32</v>
      </c>
      <c r="D424">
        <v>8</v>
      </c>
      <c r="E424" t="s">
        <v>26</v>
      </c>
      <c r="F424" t="s">
        <v>24</v>
      </c>
      <c r="G424" s="3">
        <v>373</v>
      </c>
      <c r="H424" s="3">
        <v>148.80000000000001</v>
      </c>
      <c r="I424" s="3">
        <v>55502.400000000001</v>
      </c>
      <c r="J424" s="3">
        <v>8.56</v>
      </c>
    </row>
    <row r="425" spans="1:10" x14ac:dyDescent="0.25">
      <c r="A425" s="2">
        <v>45167</v>
      </c>
      <c r="B425">
        <v>2023</v>
      </c>
      <c r="C425" t="s">
        <v>32</v>
      </c>
      <c r="D425">
        <v>8</v>
      </c>
      <c r="E425" t="s">
        <v>26</v>
      </c>
      <c r="F425" t="s">
        <v>14</v>
      </c>
      <c r="G425" s="3">
        <v>481</v>
      </c>
      <c r="H425" s="3">
        <v>23.22</v>
      </c>
      <c r="I425" s="3">
        <v>11168.82</v>
      </c>
      <c r="J425" s="3">
        <v>24.51</v>
      </c>
    </row>
    <row r="426" spans="1:10" x14ac:dyDescent="0.25">
      <c r="A426" s="2">
        <v>45167</v>
      </c>
      <c r="B426">
        <v>2023</v>
      </c>
      <c r="C426" t="s">
        <v>32</v>
      </c>
      <c r="D426">
        <v>8</v>
      </c>
      <c r="E426" t="s">
        <v>26</v>
      </c>
      <c r="F426" t="s">
        <v>15</v>
      </c>
      <c r="G426" s="3">
        <v>634</v>
      </c>
      <c r="H426" s="3">
        <v>39.700000000000003</v>
      </c>
      <c r="I426" s="3">
        <v>25169.8</v>
      </c>
      <c r="J426" s="3">
        <v>0.67</v>
      </c>
    </row>
    <row r="427" spans="1:10" x14ac:dyDescent="0.25">
      <c r="A427" s="2">
        <v>45167</v>
      </c>
      <c r="B427">
        <v>2023</v>
      </c>
      <c r="C427" t="s">
        <v>32</v>
      </c>
      <c r="D427">
        <v>8</v>
      </c>
      <c r="E427" t="s">
        <v>26</v>
      </c>
      <c r="F427" t="s">
        <v>16</v>
      </c>
      <c r="G427" s="3">
        <v>189</v>
      </c>
      <c r="H427" s="3">
        <v>192.15</v>
      </c>
      <c r="I427" s="3">
        <v>36316.35</v>
      </c>
      <c r="J427" s="3">
        <v>16.920000000000002</v>
      </c>
    </row>
    <row r="428" spans="1:10" x14ac:dyDescent="0.25">
      <c r="A428" s="2">
        <v>45167</v>
      </c>
      <c r="B428">
        <v>2023</v>
      </c>
      <c r="C428" t="s">
        <v>32</v>
      </c>
      <c r="D428">
        <v>8</v>
      </c>
      <c r="E428" t="s">
        <v>26</v>
      </c>
      <c r="F428" t="s">
        <v>17</v>
      </c>
      <c r="G428" s="3">
        <v>429</v>
      </c>
      <c r="H428" s="3">
        <v>95.16</v>
      </c>
      <c r="I428" s="3">
        <v>40823.64</v>
      </c>
      <c r="J428" s="3">
        <v>20.16</v>
      </c>
    </row>
    <row r="429" spans="1:10" x14ac:dyDescent="0.25">
      <c r="A429" s="2">
        <v>45167</v>
      </c>
      <c r="B429">
        <v>2023</v>
      </c>
      <c r="C429" t="s">
        <v>32</v>
      </c>
      <c r="D429">
        <v>8</v>
      </c>
      <c r="E429" t="s">
        <v>26</v>
      </c>
      <c r="F429" t="s">
        <v>18</v>
      </c>
      <c r="G429" s="3">
        <v>351</v>
      </c>
      <c r="H429" s="3">
        <v>128.13999999999999</v>
      </c>
      <c r="I429" s="3">
        <v>44977.14</v>
      </c>
      <c r="J429" s="3">
        <v>21.15</v>
      </c>
    </row>
    <row r="430" spans="1:10" x14ac:dyDescent="0.25">
      <c r="A430" s="2">
        <v>45167</v>
      </c>
      <c r="B430">
        <v>2023</v>
      </c>
      <c r="C430" t="s">
        <v>32</v>
      </c>
      <c r="D430">
        <v>8</v>
      </c>
      <c r="E430" t="s">
        <v>26</v>
      </c>
      <c r="F430" t="s">
        <v>19</v>
      </c>
      <c r="G430" s="3">
        <v>275</v>
      </c>
      <c r="H430" s="3">
        <v>50.07</v>
      </c>
      <c r="I430" s="3">
        <v>13769.25</v>
      </c>
      <c r="J430" s="3">
        <v>24.65</v>
      </c>
    </row>
    <row r="431" spans="1:10" x14ac:dyDescent="0.25">
      <c r="A431" s="2">
        <v>45167</v>
      </c>
      <c r="B431">
        <v>2023</v>
      </c>
      <c r="C431" t="s">
        <v>32</v>
      </c>
      <c r="D431">
        <v>8</v>
      </c>
      <c r="E431" t="s">
        <v>26</v>
      </c>
      <c r="F431" t="s">
        <v>20</v>
      </c>
      <c r="G431" s="3">
        <v>620</v>
      </c>
      <c r="H431" s="3">
        <v>92.28</v>
      </c>
      <c r="I431" s="3">
        <v>57213.599999999999</v>
      </c>
      <c r="J431" s="3">
        <v>18.510000000000002</v>
      </c>
    </row>
    <row r="432" spans="1:10" x14ac:dyDescent="0.25">
      <c r="A432" s="2">
        <v>45167</v>
      </c>
      <c r="B432">
        <v>2023</v>
      </c>
      <c r="C432" t="s">
        <v>32</v>
      </c>
      <c r="D432">
        <v>8</v>
      </c>
      <c r="E432" t="s">
        <v>26</v>
      </c>
      <c r="F432" t="s">
        <v>21</v>
      </c>
      <c r="G432" s="3">
        <v>359</v>
      </c>
      <c r="H432" s="3">
        <v>129.38999999999999</v>
      </c>
      <c r="I432" s="3">
        <v>46451.01</v>
      </c>
      <c r="J432" s="3">
        <v>5.51</v>
      </c>
    </row>
    <row r="433" spans="1:10" x14ac:dyDescent="0.25">
      <c r="A433" s="2">
        <v>45167</v>
      </c>
      <c r="B433">
        <v>2023</v>
      </c>
      <c r="C433" t="s">
        <v>32</v>
      </c>
      <c r="D433">
        <v>8</v>
      </c>
      <c r="E433" t="s">
        <v>26</v>
      </c>
      <c r="F433" t="s">
        <v>25</v>
      </c>
      <c r="G433" s="3">
        <v>555</v>
      </c>
      <c r="H433" s="3">
        <v>160.33000000000001</v>
      </c>
      <c r="I433" s="3">
        <v>88983.15</v>
      </c>
      <c r="J433" s="3">
        <v>-0.99</v>
      </c>
    </row>
    <row r="434" spans="1:10" x14ac:dyDescent="0.25">
      <c r="A434" s="2">
        <v>45197</v>
      </c>
      <c r="B434">
        <v>2023</v>
      </c>
      <c r="C434" t="s">
        <v>33</v>
      </c>
      <c r="D434">
        <v>9</v>
      </c>
      <c r="E434" t="s">
        <v>13</v>
      </c>
      <c r="F434" t="s">
        <v>22</v>
      </c>
      <c r="G434" s="3">
        <v>775</v>
      </c>
      <c r="H434" s="3">
        <v>124.75</v>
      </c>
      <c r="I434" s="3">
        <v>96681.25</v>
      </c>
      <c r="J434" s="3">
        <v>-4.24</v>
      </c>
    </row>
    <row r="435" spans="1:10" x14ac:dyDescent="0.25">
      <c r="A435" s="2">
        <v>45197</v>
      </c>
      <c r="B435">
        <v>2023</v>
      </c>
      <c r="C435" t="s">
        <v>33</v>
      </c>
      <c r="D435">
        <v>9</v>
      </c>
      <c r="E435" t="s">
        <v>13</v>
      </c>
      <c r="F435" t="s">
        <v>21</v>
      </c>
      <c r="G435" s="3">
        <v>789</v>
      </c>
      <c r="H435" s="3">
        <v>120.51</v>
      </c>
      <c r="I435" s="3">
        <v>95082.39</v>
      </c>
      <c r="J435" s="3">
        <v>-5.98</v>
      </c>
    </row>
    <row r="436" spans="1:10" x14ac:dyDescent="0.25">
      <c r="A436" s="2">
        <v>45197</v>
      </c>
      <c r="B436">
        <v>2023</v>
      </c>
      <c r="C436" t="s">
        <v>33</v>
      </c>
      <c r="D436">
        <v>9</v>
      </c>
      <c r="E436" t="s">
        <v>13</v>
      </c>
      <c r="F436" t="s">
        <v>20</v>
      </c>
      <c r="G436" s="3">
        <v>504</v>
      </c>
      <c r="H436" s="3">
        <v>42.53</v>
      </c>
      <c r="I436" s="3">
        <v>21435.119999999999</v>
      </c>
      <c r="J436" s="3">
        <v>12.42</v>
      </c>
    </row>
    <row r="437" spans="1:10" x14ac:dyDescent="0.25">
      <c r="A437" s="2">
        <v>45197</v>
      </c>
      <c r="B437">
        <v>2023</v>
      </c>
      <c r="C437" t="s">
        <v>33</v>
      </c>
      <c r="D437">
        <v>9</v>
      </c>
      <c r="E437" t="s">
        <v>13</v>
      </c>
      <c r="F437" t="s">
        <v>19</v>
      </c>
      <c r="G437" s="3">
        <v>607</v>
      </c>
      <c r="H437" s="3">
        <v>103.18</v>
      </c>
      <c r="I437" s="3">
        <v>62630.26</v>
      </c>
      <c r="J437" s="3">
        <v>-14.95</v>
      </c>
    </row>
    <row r="438" spans="1:10" x14ac:dyDescent="0.25">
      <c r="A438" s="2">
        <v>45197</v>
      </c>
      <c r="B438">
        <v>2023</v>
      </c>
      <c r="C438" t="s">
        <v>33</v>
      </c>
      <c r="D438">
        <v>9</v>
      </c>
      <c r="E438" t="s">
        <v>13</v>
      </c>
      <c r="F438" t="s">
        <v>14</v>
      </c>
      <c r="G438" s="3">
        <v>588</v>
      </c>
      <c r="H438" s="3">
        <v>194.27</v>
      </c>
      <c r="I438" s="3">
        <v>114230.76</v>
      </c>
      <c r="J438" s="3">
        <v>-7.58</v>
      </c>
    </row>
    <row r="439" spans="1:10" x14ac:dyDescent="0.25">
      <c r="A439" s="2">
        <v>45197</v>
      </c>
      <c r="B439">
        <v>2023</v>
      </c>
      <c r="C439" t="s">
        <v>33</v>
      </c>
      <c r="D439">
        <v>9</v>
      </c>
      <c r="E439" t="s">
        <v>13</v>
      </c>
      <c r="F439" t="s">
        <v>17</v>
      </c>
      <c r="G439" s="3">
        <v>436</v>
      </c>
      <c r="H439" s="3">
        <v>163.41999999999999</v>
      </c>
      <c r="I439" s="3">
        <v>71251.12</v>
      </c>
      <c r="J439" s="3">
        <v>-3.23</v>
      </c>
    </row>
    <row r="440" spans="1:10" x14ac:dyDescent="0.25">
      <c r="A440" s="2">
        <v>45197</v>
      </c>
      <c r="B440">
        <v>2023</v>
      </c>
      <c r="C440" t="s">
        <v>33</v>
      </c>
      <c r="D440">
        <v>9</v>
      </c>
      <c r="E440" t="s">
        <v>13</v>
      </c>
      <c r="F440" t="s">
        <v>16</v>
      </c>
      <c r="G440" s="3">
        <v>76</v>
      </c>
      <c r="H440" s="3">
        <v>172.06</v>
      </c>
      <c r="I440" s="3">
        <v>13076.56</v>
      </c>
      <c r="J440" s="3">
        <v>15.44</v>
      </c>
    </row>
    <row r="441" spans="1:10" x14ac:dyDescent="0.25">
      <c r="A441" s="2">
        <v>45197</v>
      </c>
      <c r="B441">
        <v>2023</v>
      </c>
      <c r="C441" t="s">
        <v>33</v>
      </c>
      <c r="D441">
        <v>9</v>
      </c>
      <c r="E441" t="s">
        <v>13</v>
      </c>
      <c r="F441" t="s">
        <v>15</v>
      </c>
      <c r="G441" s="3">
        <v>706</v>
      </c>
      <c r="H441" s="3">
        <v>36.409999999999997</v>
      </c>
      <c r="I441" s="3">
        <v>25705.46</v>
      </c>
      <c r="J441" s="3">
        <v>-8.85</v>
      </c>
    </row>
    <row r="442" spans="1:10" x14ac:dyDescent="0.25">
      <c r="A442" s="2">
        <v>45197</v>
      </c>
      <c r="B442">
        <v>2023</v>
      </c>
      <c r="C442" t="s">
        <v>33</v>
      </c>
      <c r="D442">
        <v>9</v>
      </c>
      <c r="E442" t="s">
        <v>13</v>
      </c>
      <c r="F442" t="s">
        <v>25</v>
      </c>
      <c r="G442" s="3">
        <v>393</v>
      </c>
      <c r="H442" s="3">
        <v>97.98</v>
      </c>
      <c r="I442" s="3">
        <v>38506.14</v>
      </c>
      <c r="J442" s="3">
        <v>24.37</v>
      </c>
    </row>
    <row r="443" spans="1:10" x14ac:dyDescent="0.25">
      <c r="A443" s="2">
        <v>45197</v>
      </c>
      <c r="B443">
        <v>2023</v>
      </c>
      <c r="C443" t="s">
        <v>33</v>
      </c>
      <c r="D443">
        <v>9</v>
      </c>
      <c r="E443" t="s">
        <v>13</v>
      </c>
      <c r="F443" t="s">
        <v>18</v>
      </c>
      <c r="G443" s="3">
        <v>585</v>
      </c>
      <c r="H443" s="3">
        <v>185.75</v>
      </c>
      <c r="I443" s="3">
        <v>108663.75</v>
      </c>
      <c r="J443" s="3">
        <v>9.67</v>
      </c>
    </row>
    <row r="444" spans="1:10" x14ac:dyDescent="0.25">
      <c r="A444" s="2">
        <v>45197</v>
      </c>
      <c r="B444">
        <v>2023</v>
      </c>
      <c r="C444" t="s">
        <v>33</v>
      </c>
      <c r="D444">
        <v>9</v>
      </c>
      <c r="E444" t="s">
        <v>23</v>
      </c>
      <c r="F444" t="s">
        <v>12</v>
      </c>
      <c r="G444" s="3">
        <v>770</v>
      </c>
      <c r="H444" s="3">
        <v>22.09</v>
      </c>
      <c r="I444" s="3">
        <v>17009.3</v>
      </c>
      <c r="J444" s="3">
        <v>-12.1</v>
      </c>
    </row>
    <row r="445" spans="1:10" x14ac:dyDescent="0.25">
      <c r="A445" s="2">
        <v>45197</v>
      </c>
      <c r="B445">
        <v>2023</v>
      </c>
      <c r="C445" t="s">
        <v>33</v>
      </c>
      <c r="D445">
        <v>9</v>
      </c>
      <c r="E445" t="s">
        <v>23</v>
      </c>
      <c r="F445" t="s">
        <v>17</v>
      </c>
      <c r="G445" s="3">
        <v>95</v>
      </c>
      <c r="H445" s="3">
        <v>45.65</v>
      </c>
      <c r="I445" s="3">
        <v>4336.75</v>
      </c>
      <c r="J445" s="3">
        <v>4.96</v>
      </c>
    </row>
    <row r="446" spans="1:10" x14ac:dyDescent="0.25">
      <c r="A446" s="2">
        <v>45197</v>
      </c>
      <c r="B446">
        <v>2023</v>
      </c>
      <c r="C446" t="s">
        <v>33</v>
      </c>
      <c r="D446">
        <v>9</v>
      </c>
      <c r="E446" t="s">
        <v>23</v>
      </c>
      <c r="F446" t="s">
        <v>14</v>
      </c>
      <c r="G446" s="3">
        <v>215</v>
      </c>
      <c r="H446" s="3">
        <v>72.5</v>
      </c>
      <c r="I446" s="3">
        <v>15587.5</v>
      </c>
      <c r="J446" s="3">
        <v>12.8</v>
      </c>
    </row>
    <row r="447" spans="1:10" x14ac:dyDescent="0.25">
      <c r="A447" s="2">
        <v>45197</v>
      </c>
      <c r="B447">
        <v>2023</v>
      </c>
      <c r="C447" t="s">
        <v>33</v>
      </c>
      <c r="D447">
        <v>9</v>
      </c>
      <c r="E447" t="s">
        <v>23</v>
      </c>
      <c r="F447" t="s">
        <v>15</v>
      </c>
      <c r="G447" s="3">
        <v>151</v>
      </c>
      <c r="H447" s="3">
        <v>183.41</v>
      </c>
      <c r="I447" s="3">
        <v>27694.91</v>
      </c>
      <c r="J447" s="3">
        <v>13.97</v>
      </c>
    </row>
    <row r="448" spans="1:10" x14ac:dyDescent="0.25">
      <c r="A448" s="2">
        <v>45197</v>
      </c>
      <c r="B448">
        <v>2023</v>
      </c>
      <c r="C448" t="s">
        <v>33</v>
      </c>
      <c r="D448">
        <v>9</v>
      </c>
      <c r="E448" t="s">
        <v>23</v>
      </c>
      <c r="F448" t="s">
        <v>16</v>
      </c>
      <c r="G448" s="3">
        <v>740</v>
      </c>
      <c r="H448" s="3">
        <v>38.89</v>
      </c>
      <c r="I448" s="3">
        <v>28778.6</v>
      </c>
      <c r="J448" s="3">
        <v>-5.32</v>
      </c>
    </row>
    <row r="449" spans="1:10" x14ac:dyDescent="0.25">
      <c r="A449" s="2">
        <v>45197</v>
      </c>
      <c r="B449">
        <v>2023</v>
      </c>
      <c r="C449" t="s">
        <v>33</v>
      </c>
      <c r="D449">
        <v>9</v>
      </c>
      <c r="E449" t="s">
        <v>23</v>
      </c>
      <c r="F449" t="s">
        <v>18</v>
      </c>
      <c r="G449" s="3">
        <v>135</v>
      </c>
      <c r="H449" s="3">
        <v>57.86</v>
      </c>
      <c r="I449" s="3">
        <v>7811.1</v>
      </c>
      <c r="J449" s="3">
        <v>-1.1599999999999999</v>
      </c>
    </row>
    <row r="450" spans="1:10" x14ac:dyDescent="0.25">
      <c r="A450" s="2">
        <v>45197</v>
      </c>
      <c r="B450">
        <v>2023</v>
      </c>
      <c r="C450" t="s">
        <v>33</v>
      </c>
      <c r="D450">
        <v>9</v>
      </c>
      <c r="E450" t="s">
        <v>23</v>
      </c>
      <c r="F450" t="s">
        <v>19</v>
      </c>
      <c r="G450" s="3">
        <v>291</v>
      </c>
      <c r="H450" s="3">
        <v>78.760000000000005</v>
      </c>
      <c r="I450" s="3">
        <v>22919.16</v>
      </c>
      <c r="J450" s="3">
        <v>5.71</v>
      </c>
    </row>
    <row r="451" spans="1:10" x14ac:dyDescent="0.25">
      <c r="A451" s="2">
        <v>45197</v>
      </c>
      <c r="B451">
        <v>2023</v>
      </c>
      <c r="C451" t="s">
        <v>33</v>
      </c>
      <c r="D451">
        <v>9</v>
      </c>
      <c r="E451" t="s">
        <v>23</v>
      </c>
      <c r="F451" t="s">
        <v>20</v>
      </c>
      <c r="G451" s="3">
        <v>794</v>
      </c>
      <c r="H451" s="3">
        <v>83.11</v>
      </c>
      <c r="I451" s="3">
        <v>65989.34</v>
      </c>
      <c r="J451" s="3">
        <v>-13.67</v>
      </c>
    </row>
    <row r="452" spans="1:10" x14ac:dyDescent="0.25">
      <c r="A452" s="2">
        <v>45197</v>
      </c>
      <c r="B452">
        <v>2023</v>
      </c>
      <c r="C452" t="s">
        <v>33</v>
      </c>
      <c r="D452">
        <v>9</v>
      </c>
      <c r="E452" t="s">
        <v>23</v>
      </c>
      <c r="F452" t="s">
        <v>21</v>
      </c>
      <c r="G452" s="3">
        <v>165</v>
      </c>
      <c r="H452" s="3">
        <v>84.4</v>
      </c>
      <c r="I452" s="3">
        <v>13926</v>
      </c>
      <c r="J452" s="3">
        <v>-2.12</v>
      </c>
    </row>
    <row r="453" spans="1:10" x14ac:dyDescent="0.25">
      <c r="A453" s="2">
        <v>45197</v>
      </c>
      <c r="B453">
        <v>2023</v>
      </c>
      <c r="C453" t="s">
        <v>33</v>
      </c>
      <c r="D453">
        <v>9</v>
      </c>
      <c r="E453" t="s">
        <v>23</v>
      </c>
      <c r="F453" t="s">
        <v>22</v>
      </c>
      <c r="G453" s="3">
        <v>215</v>
      </c>
      <c r="H453" s="3">
        <v>122.16</v>
      </c>
      <c r="I453" s="3">
        <v>26264.400000000001</v>
      </c>
      <c r="J453" s="3">
        <v>12.58</v>
      </c>
    </row>
    <row r="454" spans="1:10" x14ac:dyDescent="0.25">
      <c r="A454" s="2">
        <v>45197</v>
      </c>
      <c r="B454">
        <v>2023</v>
      </c>
      <c r="C454" t="s">
        <v>33</v>
      </c>
      <c r="D454">
        <v>9</v>
      </c>
      <c r="E454" t="s">
        <v>23</v>
      </c>
      <c r="F454" t="s">
        <v>25</v>
      </c>
      <c r="G454" s="3">
        <v>192</v>
      </c>
      <c r="H454" s="3">
        <v>56.03</v>
      </c>
      <c r="I454" s="3">
        <v>10757.76</v>
      </c>
      <c r="J454" s="3">
        <v>-8.3000000000000007</v>
      </c>
    </row>
    <row r="455" spans="1:10" x14ac:dyDescent="0.25">
      <c r="A455" s="2">
        <v>45197</v>
      </c>
      <c r="B455">
        <v>2023</v>
      </c>
      <c r="C455" t="s">
        <v>33</v>
      </c>
      <c r="D455">
        <v>9</v>
      </c>
      <c r="E455" t="s">
        <v>13</v>
      </c>
      <c r="F455" t="s">
        <v>24</v>
      </c>
      <c r="G455" s="3">
        <v>573</v>
      </c>
      <c r="H455" s="3">
        <v>121.3</v>
      </c>
      <c r="I455" s="3">
        <v>69504.899999999994</v>
      </c>
      <c r="J455" s="3">
        <v>3.86</v>
      </c>
    </row>
    <row r="456" spans="1:10" x14ac:dyDescent="0.25">
      <c r="A456" s="2">
        <v>45197</v>
      </c>
      <c r="B456">
        <v>2023</v>
      </c>
      <c r="C456" t="s">
        <v>33</v>
      </c>
      <c r="D456">
        <v>9</v>
      </c>
      <c r="E456" t="s">
        <v>23</v>
      </c>
      <c r="F456" t="s">
        <v>24</v>
      </c>
      <c r="G456" s="3">
        <v>369</v>
      </c>
      <c r="H456" s="3">
        <v>91.2</v>
      </c>
      <c r="I456" s="3">
        <v>33652.800000000003</v>
      </c>
      <c r="J456" s="3">
        <v>23.99</v>
      </c>
    </row>
    <row r="457" spans="1:10" x14ac:dyDescent="0.25">
      <c r="A457" s="2">
        <v>45197</v>
      </c>
      <c r="B457">
        <v>2023</v>
      </c>
      <c r="C457" t="s">
        <v>33</v>
      </c>
      <c r="D457">
        <v>9</v>
      </c>
      <c r="E457" t="s">
        <v>13</v>
      </c>
      <c r="F457" t="s">
        <v>12</v>
      </c>
      <c r="G457" s="3">
        <v>576</v>
      </c>
      <c r="H457" s="3">
        <v>154.25</v>
      </c>
      <c r="I457" s="3">
        <v>88848</v>
      </c>
      <c r="J457" s="3">
        <v>-6.99</v>
      </c>
    </row>
    <row r="458" spans="1:10" x14ac:dyDescent="0.25">
      <c r="A458" s="2">
        <v>45197</v>
      </c>
      <c r="B458">
        <v>2023</v>
      </c>
      <c r="C458" t="s">
        <v>33</v>
      </c>
      <c r="D458">
        <v>9</v>
      </c>
      <c r="E458" t="s">
        <v>26</v>
      </c>
      <c r="F458" t="s">
        <v>25</v>
      </c>
      <c r="G458" s="3">
        <v>436</v>
      </c>
      <c r="H458" s="3">
        <v>76.150000000000006</v>
      </c>
      <c r="I458" s="3">
        <v>33201.4</v>
      </c>
      <c r="J458" s="3">
        <v>-2.17</v>
      </c>
    </row>
    <row r="459" spans="1:10" x14ac:dyDescent="0.25">
      <c r="A459" s="2">
        <v>45197</v>
      </c>
      <c r="B459">
        <v>2023</v>
      </c>
      <c r="C459" t="s">
        <v>33</v>
      </c>
      <c r="D459">
        <v>9</v>
      </c>
      <c r="E459" t="s">
        <v>26</v>
      </c>
      <c r="F459" t="s">
        <v>22</v>
      </c>
      <c r="G459" s="3">
        <v>133</v>
      </c>
      <c r="H459" s="3">
        <v>91.57</v>
      </c>
      <c r="I459" s="3">
        <v>12178.81</v>
      </c>
      <c r="J459" s="3">
        <v>-4.03</v>
      </c>
    </row>
    <row r="460" spans="1:10" x14ac:dyDescent="0.25">
      <c r="A460" s="2">
        <v>45197</v>
      </c>
      <c r="B460">
        <v>2023</v>
      </c>
      <c r="C460" t="s">
        <v>33</v>
      </c>
      <c r="D460">
        <v>9</v>
      </c>
      <c r="E460" t="s">
        <v>11</v>
      </c>
      <c r="F460" t="s">
        <v>12</v>
      </c>
      <c r="G460" s="3">
        <v>131</v>
      </c>
      <c r="H460" s="3">
        <v>167.23</v>
      </c>
      <c r="I460" s="3">
        <v>21907.13</v>
      </c>
      <c r="J460" s="3">
        <v>18.29</v>
      </c>
    </row>
    <row r="461" spans="1:10" x14ac:dyDescent="0.25">
      <c r="A461" s="2">
        <v>45197</v>
      </c>
      <c r="B461">
        <v>2023</v>
      </c>
      <c r="C461" t="s">
        <v>33</v>
      </c>
      <c r="D461">
        <v>9</v>
      </c>
      <c r="E461" t="s">
        <v>11</v>
      </c>
      <c r="F461" t="s">
        <v>24</v>
      </c>
      <c r="G461" s="3">
        <v>573</v>
      </c>
      <c r="H461" s="3">
        <v>21.15</v>
      </c>
      <c r="I461" s="3">
        <v>12118.95</v>
      </c>
      <c r="J461" s="3">
        <v>-3.52</v>
      </c>
    </row>
    <row r="462" spans="1:10" x14ac:dyDescent="0.25">
      <c r="A462" s="2">
        <v>45197</v>
      </c>
      <c r="B462">
        <v>2023</v>
      </c>
      <c r="C462" t="s">
        <v>33</v>
      </c>
      <c r="D462">
        <v>9</v>
      </c>
      <c r="E462" t="s">
        <v>11</v>
      </c>
      <c r="F462" t="s">
        <v>14</v>
      </c>
      <c r="G462" s="3">
        <v>95</v>
      </c>
      <c r="H462" s="3">
        <v>78.760000000000005</v>
      </c>
      <c r="I462" s="3">
        <v>7482.2</v>
      </c>
      <c r="J462" s="3">
        <v>7.39</v>
      </c>
    </row>
    <row r="463" spans="1:10" x14ac:dyDescent="0.25">
      <c r="A463" s="2">
        <v>45197</v>
      </c>
      <c r="B463">
        <v>2023</v>
      </c>
      <c r="C463" t="s">
        <v>33</v>
      </c>
      <c r="D463">
        <v>9</v>
      </c>
      <c r="E463" t="s">
        <v>11</v>
      </c>
      <c r="F463" t="s">
        <v>15</v>
      </c>
      <c r="G463" s="3">
        <v>409</v>
      </c>
      <c r="H463" s="3">
        <v>66.760000000000005</v>
      </c>
      <c r="I463" s="3">
        <v>27304.84</v>
      </c>
      <c r="J463" s="3">
        <v>10.36</v>
      </c>
    </row>
    <row r="464" spans="1:10" x14ac:dyDescent="0.25">
      <c r="A464" s="2">
        <v>45197</v>
      </c>
      <c r="B464">
        <v>2023</v>
      </c>
      <c r="C464" t="s">
        <v>33</v>
      </c>
      <c r="D464">
        <v>9</v>
      </c>
      <c r="E464" t="s">
        <v>11</v>
      </c>
      <c r="F464" t="s">
        <v>16</v>
      </c>
      <c r="G464" s="3">
        <v>414</v>
      </c>
      <c r="H464" s="3">
        <v>160.37</v>
      </c>
      <c r="I464" s="3">
        <v>66393.179999999993</v>
      </c>
      <c r="J464" s="3">
        <v>-10.72</v>
      </c>
    </row>
    <row r="465" spans="1:10" x14ac:dyDescent="0.25">
      <c r="A465" s="2">
        <v>45197</v>
      </c>
      <c r="B465">
        <v>2023</v>
      </c>
      <c r="C465" t="s">
        <v>33</v>
      </c>
      <c r="D465">
        <v>9</v>
      </c>
      <c r="E465" t="s">
        <v>11</v>
      </c>
      <c r="F465" t="s">
        <v>17</v>
      </c>
      <c r="G465" s="3">
        <v>463</v>
      </c>
      <c r="H465" s="3">
        <v>23.32</v>
      </c>
      <c r="I465" s="3">
        <v>10797.16</v>
      </c>
      <c r="J465" s="3">
        <v>2.29</v>
      </c>
    </row>
    <row r="466" spans="1:10" x14ac:dyDescent="0.25">
      <c r="A466" s="2">
        <v>45197</v>
      </c>
      <c r="B466">
        <v>2023</v>
      </c>
      <c r="C466" t="s">
        <v>33</v>
      </c>
      <c r="D466">
        <v>9</v>
      </c>
      <c r="E466" t="s">
        <v>11</v>
      </c>
      <c r="F466" t="s">
        <v>19</v>
      </c>
      <c r="G466" s="3">
        <v>327</v>
      </c>
      <c r="H466" s="3">
        <v>188.7</v>
      </c>
      <c r="I466" s="3">
        <v>61704.9</v>
      </c>
      <c r="J466" s="3">
        <v>12.52</v>
      </c>
    </row>
    <row r="467" spans="1:10" x14ac:dyDescent="0.25">
      <c r="A467" s="2">
        <v>45197</v>
      </c>
      <c r="B467">
        <v>2023</v>
      </c>
      <c r="C467" t="s">
        <v>33</v>
      </c>
      <c r="D467">
        <v>9</v>
      </c>
      <c r="E467" t="s">
        <v>11</v>
      </c>
      <c r="F467" t="s">
        <v>20</v>
      </c>
      <c r="G467" s="3">
        <v>291</v>
      </c>
      <c r="H467" s="3">
        <v>190.51</v>
      </c>
      <c r="I467" s="3">
        <v>55438.41</v>
      </c>
      <c r="J467" s="3">
        <v>-8.34</v>
      </c>
    </row>
    <row r="468" spans="1:10" x14ac:dyDescent="0.25">
      <c r="A468" s="2">
        <v>45197</v>
      </c>
      <c r="B468">
        <v>2023</v>
      </c>
      <c r="C468" t="s">
        <v>33</v>
      </c>
      <c r="D468">
        <v>9</v>
      </c>
      <c r="E468" t="s">
        <v>11</v>
      </c>
      <c r="F468" t="s">
        <v>21</v>
      </c>
      <c r="G468" s="3">
        <v>573</v>
      </c>
      <c r="H468" s="3">
        <v>32.119999999999997</v>
      </c>
      <c r="I468" s="3">
        <v>18404.759999999998</v>
      </c>
      <c r="J468" s="3">
        <v>8.2899999999999991</v>
      </c>
    </row>
    <row r="469" spans="1:10" x14ac:dyDescent="0.25">
      <c r="A469" s="2">
        <v>45197</v>
      </c>
      <c r="B469">
        <v>2023</v>
      </c>
      <c r="C469" t="s">
        <v>33</v>
      </c>
      <c r="D469">
        <v>9</v>
      </c>
      <c r="E469" t="s">
        <v>11</v>
      </c>
      <c r="F469" t="s">
        <v>22</v>
      </c>
      <c r="G469" s="3">
        <v>754</v>
      </c>
      <c r="H469" s="3">
        <v>30.43</v>
      </c>
      <c r="I469" s="3">
        <v>22944.22</v>
      </c>
      <c r="J469" s="3">
        <v>-12.01</v>
      </c>
    </row>
    <row r="470" spans="1:10" x14ac:dyDescent="0.25">
      <c r="A470" s="2">
        <v>45197</v>
      </c>
      <c r="B470">
        <v>2023</v>
      </c>
      <c r="C470" t="s">
        <v>33</v>
      </c>
      <c r="D470">
        <v>9</v>
      </c>
      <c r="E470" t="s">
        <v>11</v>
      </c>
      <c r="F470" t="s">
        <v>18</v>
      </c>
      <c r="G470" s="3">
        <v>461</v>
      </c>
      <c r="H470" s="3">
        <v>133.87</v>
      </c>
      <c r="I470" s="3">
        <v>61714.07</v>
      </c>
      <c r="J470" s="3">
        <v>22.28</v>
      </c>
    </row>
    <row r="471" spans="1:10" x14ac:dyDescent="0.25">
      <c r="A471" s="2">
        <v>45197</v>
      </c>
      <c r="B471">
        <v>2023</v>
      </c>
      <c r="C471" t="s">
        <v>33</v>
      </c>
      <c r="D471">
        <v>9</v>
      </c>
      <c r="E471" t="s">
        <v>26</v>
      </c>
      <c r="F471" t="s">
        <v>12</v>
      </c>
      <c r="G471" s="3">
        <v>334</v>
      </c>
      <c r="H471" s="3">
        <v>100.27</v>
      </c>
      <c r="I471" s="3">
        <v>33490.18</v>
      </c>
      <c r="J471" s="3">
        <v>10.9</v>
      </c>
    </row>
    <row r="472" spans="1:10" x14ac:dyDescent="0.25">
      <c r="A472" s="2">
        <v>45197</v>
      </c>
      <c r="B472">
        <v>2023</v>
      </c>
      <c r="C472" t="s">
        <v>33</v>
      </c>
      <c r="D472">
        <v>9</v>
      </c>
      <c r="E472" t="s">
        <v>11</v>
      </c>
      <c r="F472" t="s">
        <v>25</v>
      </c>
      <c r="G472" s="3">
        <v>259</v>
      </c>
      <c r="H472" s="3">
        <v>176.88</v>
      </c>
      <c r="I472" s="3">
        <v>45811.92</v>
      </c>
      <c r="J472" s="3">
        <v>23.94</v>
      </c>
    </row>
    <row r="473" spans="1:10" x14ac:dyDescent="0.25">
      <c r="A473" s="2">
        <v>45197</v>
      </c>
      <c r="B473">
        <v>2023</v>
      </c>
      <c r="C473" t="s">
        <v>33</v>
      </c>
      <c r="D473">
        <v>9</v>
      </c>
      <c r="E473" t="s">
        <v>26</v>
      </c>
      <c r="F473" t="s">
        <v>20</v>
      </c>
      <c r="G473" s="3">
        <v>588</v>
      </c>
      <c r="H473" s="3">
        <v>176.25</v>
      </c>
      <c r="I473" s="3">
        <v>103635</v>
      </c>
      <c r="J473" s="3">
        <v>23.53</v>
      </c>
    </row>
    <row r="474" spans="1:10" x14ac:dyDescent="0.25">
      <c r="A474" s="2">
        <v>45197</v>
      </c>
      <c r="B474">
        <v>2023</v>
      </c>
      <c r="C474" t="s">
        <v>33</v>
      </c>
      <c r="D474">
        <v>9</v>
      </c>
      <c r="E474" t="s">
        <v>26</v>
      </c>
      <c r="F474" t="s">
        <v>19</v>
      </c>
      <c r="G474" s="3">
        <v>736</v>
      </c>
      <c r="H474" s="3">
        <v>142.49</v>
      </c>
      <c r="I474" s="3">
        <v>104872.64</v>
      </c>
      <c r="J474" s="3">
        <v>11.18</v>
      </c>
    </row>
    <row r="475" spans="1:10" x14ac:dyDescent="0.25">
      <c r="A475" s="2">
        <v>45197</v>
      </c>
      <c r="B475">
        <v>2023</v>
      </c>
      <c r="C475" t="s">
        <v>33</v>
      </c>
      <c r="D475">
        <v>9</v>
      </c>
      <c r="E475" t="s">
        <v>26</v>
      </c>
      <c r="F475" t="s">
        <v>18</v>
      </c>
      <c r="G475" s="3">
        <v>206</v>
      </c>
      <c r="H475" s="3">
        <v>73.709999999999994</v>
      </c>
      <c r="I475" s="3">
        <v>15184.26</v>
      </c>
      <c r="J475" s="3">
        <v>18.600000000000001</v>
      </c>
    </row>
    <row r="476" spans="1:10" x14ac:dyDescent="0.25">
      <c r="A476" s="2">
        <v>45197</v>
      </c>
      <c r="B476">
        <v>2023</v>
      </c>
      <c r="C476" t="s">
        <v>33</v>
      </c>
      <c r="D476">
        <v>9</v>
      </c>
      <c r="E476" t="s">
        <v>26</v>
      </c>
      <c r="F476" t="s">
        <v>17</v>
      </c>
      <c r="G476" s="3">
        <v>148</v>
      </c>
      <c r="H476" s="3">
        <v>101.25</v>
      </c>
      <c r="I476" s="3">
        <v>14985</v>
      </c>
      <c r="J476" s="3">
        <v>-8.4600000000000009</v>
      </c>
    </row>
    <row r="477" spans="1:10" x14ac:dyDescent="0.25">
      <c r="A477" s="2">
        <v>45197</v>
      </c>
      <c r="B477">
        <v>2023</v>
      </c>
      <c r="C477" t="s">
        <v>33</v>
      </c>
      <c r="D477">
        <v>9</v>
      </c>
      <c r="E477" t="s">
        <v>26</v>
      </c>
      <c r="F477" t="s">
        <v>21</v>
      </c>
      <c r="G477" s="3">
        <v>489</v>
      </c>
      <c r="H477" s="3">
        <v>97.82</v>
      </c>
      <c r="I477" s="3">
        <v>47833.98</v>
      </c>
      <c r="J477" s="3">
        <v>22.74</v>
      </c>
    </row>
    <row r="478" spans="1:10" x14ac:dyDescent="0.25">
      <c r="A478" s="2">
        <v>45197</v>
      </c>
      <c r="B478">
        <v>2023</v>
      </c>
      <c r="C478" t="s">
        <v>33</v>
      </c>
      <c r="D478">
        <v>9</v>
      </c>
      <c r="E478" t="s">
        <v>26</v>
      </c>
      <c r="F478" t="s">
        <v>15</v>
      </c>
      <c r="G478" s="3">
        <v>508</v>
      </c>
      <c r="H478" s="3">
        <v>142.99</v>
      </c>
      <c r="I478" s="3">
        <v>72638.92</v>
      </c>
      <c r="J478" s="3">
        <v>2.84</v>
      </c>
    </row>
    <row r="479" spans="1:10" x14ac:dyDescent="0.25">
      <c r="A479" s="2">
        <v>45197</v>
      </c>
      <c r="B479">
        <v>2023</v>
      </c>
      <c r="C479" t="s">
        <v>33</v>
      </c>
      <c r="D479">
        <v>9</v>
      </c>
      <c r="E479" t="s">
        <v>26</v>
      </c>
      <c r="F479" t="s">
        <v>14</v>
      </c>
      <c r="G479" s="3">
        <v>82</v>
      </c>
      <c r="H479" s="3">
        <v>78.25</v>
      </c>
      <c r="I479" s="3">
        <v>6416.5</v>
      </c>
      <c r="J479" s="3">
        <v>4.55</v>
      </c>
    </row>
    <row r="480" spans="1:10" x14ac:dyDescent="0.25">
      <c r="A480" s="2">
        <v>45197</v>
      </c>
      <c r="B480">
        <v>2023</v>
      </c>
      <c r="C480" t="s">
        <v>33</v>
      </c>
      <c r="D480">
        <v>9</v>
      </c>
      <c r="E480" t="s">
        <v>26</v>
      </c>
      <c r="F480" t="s">
        <v>24</v>
      </c>
      <c r="G480" s="3">
        <v>430</v>
      </c>
      <c r="H480" s="3">
        <v>89.05</v>
      </c>
      <c r="I480" s="3">
        <v>38291.5</v>
      </c>
      <c r="J480" s="3">
        <v>-12.37</v>
      </c>
    </row>
    <row r="481" spans="1:10" x14ac:dyDescent="0.25">
      <c r="A481" s="2">
        <v>45197</v>
      </c>
      <c r="B481">
        <v>2023</v>
      </c>
      <c r="C481" t="s">
        <v>33</v>
      </c>
      <c r="D481">
        <v>9</v>
      </c>
      <c r="E481" t="s">
        <v>26</v>
      </c>
      <c r="F481" t="s">
        <v>16</v>
      </c>
      <c r="G481" s="3">
        <v>479</v>
      </c>
      <c r="H481" s="3">
        <v>104.34</v>
      </c>
      <c r="I481" s="3">
        <v>49978.86</v>
      </c>
      <c r="J481" s="3">
        <v>22.77</v>
      </c>
    </row>
    <row r="482" spans="1:10" x14ac:dyDescent="0.25">
      <c r="A482" s="2">
        <v>45227</v>
      </c>
      <c r="B482">
        <v>2023</v>
      </c>
      <c r="C482" t="s">
        <v>34</v>
      </c>
      <c r="D482">
        <v>10</v>
      </c>
      <c r="E482" t="s">
        <v>13</v>
      </c>
      <c r="F482" t="s">
        <v>25</v>
      </c>
      <c r="G482" s="3">
        <v>350</v>
      </c>
      <c r="H482" s="3">
        <v>62.67</v>
      </c>
      <c r="I482" s="3">
        <v>21934.5</v>
      </c>
      <c r="J482" s="3">
        <v>-5.61</v>
      </c>
    </row>
    <row r="483" spans="1:10" x14ac:dyDescent="0.25">
      <c r="A483" s="2">
        <v>45227</v>
      </c>
      <c r="B483">
        <v>2023</v>
      </c>
      <c r="C483" t="s">
        <v>34</v>
      </c>
      <c r="D483">
        <v>10</v>
      </c>
      <c r="E483" t="s">
        <v>13</v>
      </c>
      <c r="F483" t="s">
        <v>14</v>
      </c>
      <c r="G483" s="3">
        <v>579</v>
      </c>
      <c r="H483" s="3">
        <v>133.68</v>
      </c>
      <c r="I483" s="3">
        <v>77400.72</v>
      </c>
      <c r="J483" s="3">
        <v>14.32</v>
      </c>
    </row>
    <row r="484" spans="1:10" x14ac:dyDescent="0.25">
      <c r="A484" s="2">
        <v>45227</v>
      </c>
      <c r="B484">
        <v>2023</v>
      </c>
      <c r="C484" t="s">
        <v>34</v>
      </c>
      <c r="D484">
        <v>10</v>
      </c>
      <c r="E484" t="s">
        <v>13</v>
      </c>
      <c r="F484" t="s">
        <v>15</v>
      </c>
      <c r="G484" s="3">
        <v>569</v>
      </c>
      <c r="H484" s="3">
        <v>92.96</v>
      </c>
      <c r="I484" s="3">
        <v>52894.239999999998</v>
      </c>
      <c r="J484" s="3">
        <v>9.07</v>
      </c>
    </row>
    <row r="485" spans="1:10" x14ac:dyDescent="0.25">
      <c r="A485" s="2">
        <v>45227</v>
      </c>
      <c r="B485">
        <v>2023</v>
      </c>
      <c r="C485" t="s">
        <v>34</v>
      </c>
      <c r="D485">
        <v>10</v>
      </c>
      <c r="E485" t="s">
        <v>13</v>
      </c>
      <c r="F485" t="s">
        <v>16</v>
      </c>
      <c r="G485" s="3">
        <v>347</v>
      </c>
      <c r="H485" s="3">
        <v>62.76</v>
      </c>
      <c r="I485" s="3">
        <v>21777.72</v>
      </c>
      <c r="J485" s="3">
        <v>23.86</v>
      </c>
    </row>
    <row r="486" spans="1:10" x14ac:dyDescent="0.25">
      <c r="A486" s="2">
        <v>45227</v>
      </c>
      <c r="B486">
        <v>2023</v>
      </c>
      <c r="C486" t="s">
        <v>34</v>
      </c>
      <c r="D486">
        <v>10</v>
      </c>
      <c r="E486" t="s">
        <v>13</v>
      </c>
      <c r="F486" t="s">
        <v>17</v>
      </c>
      <c r="G486" s="3">
        <v>424</v>
      </c>
      <c r="H486" s="3">
        <v>94.35</v>
      </c>
      <c r="I486" s="3">
        <v>40004.400000000001</v>
      </c>
      <c r="J486" s="3">
        <v>-12.23</v>
      </c>
    </row>
    <row r="487" spans="1:10" x14ac:dyDescent="0.25">
      <c r="A487" s="2">
        <v>45227</v>
      </c>
      <c r="B487">
        <v>2023</v>
      </c>
      <c r="C487" t="s">
        <v>34</v>
      </c>
      <c r="D487">
        <v>10</v>
      </c>
      <c r="E487" t="s">
        <v>13</v>
      </c>
      <c r="F487" t="s">
        <v>18</v>
      </c>
      <c r="G487" s="3">
        <v>602</v>
      </c>
      <c r="H487" s="3">
        <v>64.5</v>
      </c>
      <c r="I487" s="3">
        <v>38829</v>
      </c>
      <c r="J487" s="3">
        <v>19.829999999999998</v>
      </c>
    </row>
    <row r="488" spans="1:10" x14ac:dyDescent="0.25">
      <c r="A488" s="2">
        <v>45227</v>
      </c>
      <c r="B488">
        <v>2023</v>
      </c>
      <c r="C488" t="s">
        <v>34</v>
      </c>
      <c r="D488">
        <v>10</v>
      </c>
      <c r="E488" t="s">
        <v>13</v>
      </c>
      <c r="F488" t="s">
        <v>19</v>
      </c>
      <c r="G488" s="3">
        <v>672</v>
      </c>
      <c r="H488" s="3">
        <v>126.73</v>
      </c>
      <c r="I488" s="3">
        <v>85162.559999999998</v>
      </c>
      <c r="J488" s="3">
        <v>8.18</v>
      </c>
    </row>
    <row r="489" spans="1:10" x14ac:dyDescent="0.25">
      <c r="A489" s="2">
        <v>45227</v>
      </c>
      <c r="B489">
        <v>2023</v>
      </c>
      <c r="C489" t="s">
        <v>34</v>
      </c>
      <c r="D489">
        <v>10</v>
      </c>
      <c r="E489" t="s">
        <v>13</v>
      </c>
      <c r="F489" t="s">
        <v>20</v>
      </c>
      <c r="G489" s="3">
        <v>133</v>
      </c>
      <c r="H489" s="3">
        <v>126.73</v>
      </c>
      <c r="I489" s="3">
        <v>16855.09</v>
      </c>
      <c r="J489" s="3">
        <v>-8.4600000000000009</v>
      </c>
    </row>
    <row r="490" spans="1:10" x14ac:dyDescent="0.25">
      <c r="A490" s="2">
        <v>45227</v>
      </c>
      <c r="B490">
        <v>2023</v>
      </c>
      <c r="C490" t="s">
        <v>34</v>
      </c>
      <c r="D490">
        <v>10</v>
      </c>
      <c r="E490" t="s">
        <v>13</v>
      </c>
      <c r="F490" t="s">
        <v>21</v>
      </c>
      <c r="G490" s="3">
        <v>77</v>
      </c>
      <c r="H490" s="3">
        <v>66.459999999999994</v>
      </c>
      <c r="I490" s="3">
        <v>5117.42</v>
      </c>
      <c r="J490" s="3">
        <v>11.27</v>
      </c>
    </row>
    <row r="491" spans="1:10" x14ac:dyDescent="0.25">
      <c r="A491" s="2">
        <v>45227</v>
      </c>
      <c r="B491">
        <v>2023</v>
      </c>
      <c r="C491" t="s">
        <v>34</v>
      </c>
      <c r="D491">
        <v>10</v>
      </c>
      <c r="E491" t="s">
        <v>13</v>
      </c>
      <c r="F491" t="s">
        <v>22</v>
      </c>
      <c r="G491" s="3">
        <v>498</v>
      </c>
      <c r="H491" s="3">
        <v>159.22999999999999</v>
      </c>
      <c r="I491" s="3">
        <v>79296.539999999994</v>
      </c>
      <c r="J491" s="3">
        <v>-9.77</v>
      </c>
    </row>
    <row r="492" spans="1:10" x14ac:dyDescent="0.25">
      <c r="A492" s="2">
        <v>45227</v>
      </c>
      <c r="B492">
        <v>2023</v>
      </c>
      <c r="C492" t="s">
        <v>34</v>
      </c>
      <c r="D492">
        <v>10</v>
      </c>
      <c r="E492" t="s">
        <v>23</v>
      </c>
      <c r="F492" t="s">
        <v>12</v>
      </c>
      <c r="G492" s="3">
        <v>59</v>
      </c>
      <c r="H492" s="3">
        <v>33.229999999999997</v>
      </c>
      <c r="I492" s="3">
        <v>1960.57</v>
      </c>
      <c r="J492" s="3">
        <v>-8.2100000000000009</v>
      </c>
    </row>
    <row r="493" spans="1:10" x14ac:dyDescent="0.25">
      <c r="A493" s="2">
        <v>45227</v>
      </c>
      <c r="B493">
        <v>2023</v>
      </c>
      <c r="C493" t="s">
        <v>34</v>
      </c>
      <c r="D493">
        <v>10</v>
      </c>
      <c r="E493" t="s">
        <v>23</v>
      </c>
      <c r="F493" t="s">
        <v>25</v>
      </c>
      <c r="G493" s="3">
        <v>210</v>
      </c>
      <c r="H493" s="3">
        <v>111.3</v>
      </c>
      <c r="I493" s="3">
        <v>23373</v>
      </c>
      <c r="J493" s="3">
        <v>-13.34</v>
      </c>
    </row>
    <row r="494" spans="1:10" x14ac:dyDescent="0.25">
      <c r="A494" s="2">
        <v>45227</v>
      </c>
      <c r="B494">
        <v>2023</v>
      </c>
      <c r="C494" t="s">
        <v>34</v>
      </c>
      <c r="D494">
        <v>10</v>
      </c>
      <c r="E494" t="s">
        <v>23</v>
      </c>
      <c r="F494" t="s">
        <v>14</v>
      </c>
      <c r="G494" s="3">
        <v>306</v>
      </c>
      <c r="H494" s="3">
        <v>100.9</v>
      </c>
      <c r="I494" s="3">
        <v>30875.4</v>
      </c>
      <c r="J494" s="3">
        <v>8.52</v>
      </c>
    </row>
    <row r="495" spans="1:10" x14ac:dyDescent="0.25">
      <c r="A495" s="2">
        <v>45227</v>
      </c>
      <c r="B495">
        <v>2023</v>
      </c>
      <c r="C495" t="s">
        <v>34</v>
      </c>
      <c r="D495">
        <v>10</v>
      </c>
      <c r="E495" t="s">
        <v>23</v>
      </c>
      <c r="F495" t="s">
        <v>15</v>
      </c>
      <c r="G495" s="3">
        <v>562</v>
      </c>
      <c r="H495" s="3">
        <v>65.459999999999994</v>
      </c>
      <c r="I495" s="3">
        <v>36788.519999999997</v>
      </c>
      <c r="J495" s="3">
        <v>-0.63</v>
      </c>
    </row>
    <row r="496" spans="1:10" x14ac:dyDescent="0.25">
      <c r="A496" s="2">
        <v>45227</v>
      </c>
      <c r="B496">
        <v>2023</v>
      </c>
      <c r="C496" t="s">
        <v>34</v>
      </c>
      <c r="D496">
        <v>10</v>
      </c>
      <c r="E496" t="s">
        <v>23</v>
      </c>
      <c r="F496" t="s">
        <v>16</v>
      </c>
      <c r="G496" s="3">
        <v>333</v>
      </c>
      <c r="H496" s="3">
        <v>26.6</v>
      </c>
      <c r="I496" s="3">
        <v>8857.7999999999993</v>
      </c>
      <c r="J496" s="3">
        <v>14.46</v>
      </c>
    </row>
    <row r="497" spans="1:10" x14ac:dyDescent="0.25">
      <c r="A497" s="2">
        <v>45227</v>
      </c>
      <c r="B497">
        <v>2023</v>
      </c>
      <c r="C497" t="s">
        <v>34</v>
      </c>
      <c r="D497">
        <v>10</v>
      </c>
      <c r="E497" t="s">
        <v>23</v>
      </c>
      <c r="F497" t="s">
        <v>17</v>
      </c>
      <c r="G497" s="3">
        <v>253</v>
      </c>
      <c r="H497" s="3">
        <v>105.43</v>
      </c>
      <c r="I497" s="3">
        <v>26673.79</v>
      </c>
      <c r="J497" s="3">
        <v>18.77</v>
      </c>
    </row>
    <row r="498" spans="1:10" x14ac:dyDescent="0.25">
      <c r="A498" s="2">
        <v>45227</v>
      </c>
      <c r="B498">
        <v>2023</v>
      </c>
      <c r="C498" t="s">
        <v>34</v>
      </c>
      <c r="D498">
        <v>10</v>
      </c>
      <c r="E498" t="s">
        <v>23</v>
      </c>
      <c r="F498" t="s">
        <v>18</v>
      </c>
      <c r="G498" s="3">
        <v>605</v>
      </c>
      <c r="H498" s="3">
        <v>100.35</v>
      </c>
      <c r="I498" s="3">
        <v>60711.75</v>
      </c>
      <c r="J498" s="3">
        <v>19.57</v>
      </c>
    </row>
    <row r="499" spans="1:10" x14ac:dyDescent="0.25">
      <c r="A499" s="2">
        <v>45227</v>
      </c>
      <c r="B499">
        <v>2023</v>
      </c>
      <c r="C499" t="s">
        <v>34</v>
      </c>
      <c r="D499">
        <v>10</v>
      </c>
      <c r="E499" t="s">
        <v>23</v>
      </c>
      <c r="F499" t="s">
        <v>19</v>
      </c>
      <c r="G499" s="3">
        <v>669</v>
      </c>
      <c r="H499" s="3">
        <v>117.18</v>
      </c>
      <c r="I499" s="3">
        <v>78393.42</v>
      </c>
      <c r="J499" s="3">
        <v>-13.63</v>
      </c>
    </row>
    <row r="500" spans="1:10" x14ac:dyDescent="0.25">
      <c r="A500" s="2">
        <v>45227</v>
      </c>
      <c r="B500">
        <v>2023</v>
      </c>
      <c r="C500" t="s">
        <v>34</v>
      </c>
      <c r="D500">
        <v>10</v>
      </c>
      <c r="E500" t="s">
        <v>23</v>
      </c>
      <c r="F500" t="s">
        <v>20</v>
      </c>
      <c r="G500" s="3">
        <v>383</v>
      </c>
      <c r="H500" s="3">
        <v>30.28</v>
      </c>
      <c r="I500" s="3">
        <v>11597.24</v>
      </c>
      <c r="J500" s="3">
        <v>6.25</v>
      </c>
    </row>
    <row r="501" spans="1:10" x14ac:dyDescent="0.25">
      <c r="A501" s="2">
        <v>45227</v>
      </c>
      <c r="B501">
        <v>2023</v>
      </c>
      <c r="C501" t="s">
        <v>34</v>
      </c>
      <c r="D501">
        <v>10</v>
      </c>
      <c r="E501" t="s">
        <v>23</v>
      </c>
      <c r="F501" t="s">
        <v>21</v>
      </c>
      <c r="G501" s="3">
        <v>69</v>
      </c>
      <c r="H501" s="3">
        <v>29.31</v>
      </c>
      <c r="I501" s="3">
        <v>2022.39</v>
      </c>
      <c r="J501" s="3">
        <v>10.6</v>
      </c>
    </row>
    <row r="502" spans="1:10" x14ac:dyDescent="0.25">
      <c r="A502" s="2">
        <v>45227</v>
      </c>
      <c r="B502">
        <v>2023</v>
      </c>
      <c r="C502" t="s">
        <v>34</v>
      </c>
      <c r="D502">
        <v>10</v>
      </c>
      <c r="E502" t="s">
        <v>23</v>
      </c>
      <c r="F502" t="s">
        <v>22</v>
      </c>
      <c r="G502" s="3">
        <v>84</v>
      </c>
      <c r="H502" s="3">
        <v>101.4</v>
      </c>
      <c r="I502" s="3">
        <v>8517.6</v>
      </c>
      <c r="J502" s="3">
        <v>22.36</v>
      </c>
    </row>
    <row r="503" spans="1:10" x14ac:dyDescent="0.25">
      <c r="A503" s="2">
        <v>45227</v>
      </c>
      <c r="B503">
        <v>2023</v>
      </c>
      <c r="C503" t="s">
        <v>34</v>
      </c>
      <c r="D503">
        <v>10</v>
      </c>
      <c r="E503" t="s">
        <v>13</v>
      </c>
      <c r="F503" t="s">
        <v>24</v>
      </c>
      <c r="G503" s="3">
        <v>295</v>
      </c>
      <c r="H503" s="3">
        <v>84.65</v>
      </c>
      <c r="I503" s="3">
        <v>24971.75</v>
      </c>
      <c r="J503" s="3">
        <v>0.35</v>
      </c>
    </row>
    <row r="504" spans="1:10" x14ac:dyDescent="0.25">
      <c r="A504" s="2">
        <v>45227</v>
      </c>
      <c r="B504">
        <v>2023</v>
      </c>
      <c r="C504" t="s">
        <v>34</v>
      </c>
      <c r="D504">
        <v>10</v>
      </c>
      <c r="E504" t="s">
        <v>23</v>
      </c>
      <c r="F504" t="s">
        <v>24</v>
      </c>
      <c r="G504" s="3">
        <v>654</v>
      </c>
      <c r="H504" s="3">
        <v>80.66</v>
      </c>
      <c r="I504" s="3">
        <v>52751.64</v>
      </c>
      <c r="J504" s="3">
        <v>18.16</v>
      </c>
    </row>
    <row r="505" spans="1:10" x14ac:dyDescent="0.25">
      <c r="A505" s="2">
        <v>45227</v>
      </c>
      <c r="B505">
        <v>2023</v>
      </c>
      <c r="C505" t="s">
        <v>34</v>
      </c>
      <c r="D505">
        <v>10</v>
      </c>
      <c r="E505" t="s">
        <v>13</v>
      </c>
      <c r="F505" t="s">
        <v>12</v>
      </c>
      <c r="G505" s="3">
        <v>344</v>
      </c>
      <c r="H505" s="3">
        <v>69.83</v>
      </c>
      <c r="I505" s="3">
        <v>24021.52</v>
      </c>
      <c r="J505" s="3">
        <v>8.69</v>
      </c>
    </row>
    <row r="506" spans="1:10" x14ac:dyDescent="0.25">
      <c r="A506" s="2">
        <v>45227</v>
      </c>
      <c r="B506">
        <v>2023</v>
      </c>
      <c r="C506" t="s">
        <v>34</v>
      </c>
      <c r="D506">
        <v>10</v>
      </c>
      <c r="E506" t="s">
        <v>26</v>
      </c>
      <c r="F506" t="s">
        <v>25</v>
      </c>
      <c r="G506" s="3">
        <v>627</v>
      </c>
      <c r="H506" s="3">
        <v>127.59</v>
      </c>
      <c r="I506" s="3">
        <v>79998.929999999993</v>
      </c>
      <c r="J506" s="3">
        <v>16.72</v>
      </c>
    </row>
    <row r="507" spans="1:10" x14ac:dyDescent="0.25">
      <c r="A507" s="2">
        <v>45227</v>
      </c>
      <c r="B507">
        <v>2023</v>
      </c>
      <c r="C507" t="s">
        <v>34</v>
      </c>
      <c r="D507">
        <v>10</v>
      </c>
      <c r="E507" t="s">
        <v>26</v>
      </c>
      <c r="F507" t="s">
        <v>22</v>
      </c>
      <c r="G507" s="3">
        <v>299</v>
      </c>
      <c r="H507" s="3">
        <v>150.55000000000001</v>
      </c>
      <c r="I507" s="3">
        <v>45014.45</v>
      </c>
      <c r="J507" s="3">
        <v>4.47</v>
      </c>
    </row>
    <row r="508" spans="1:10" x14ac:dyDescent="0.25">
      <c r="A508" s="2">
        <v>45227</v>
      </c>
      <c r="B508">
        <v>2023</v>
      </c>
      <c r="C508" t="s">
        <v>34</v>
      </c>
      <c r="D508">
        <v>10</v>
      </c>
      <c r="E508" t="s">
        <v>11</v>
      </c>
      <c r="F508" t="s">
        <v>12</v>
      </c>
      <c r="G508" s="3">
        <v>354</v>
      </c>
      <c r="H508" s="3">
        <v>191.28</v>
      </c>
      <c r="I508" s="3">
        <v>67713.119999999995</v>
      </c>
      <c r="J508" s="3">
        <v>-10.029999999999999</v>
      </c>
    </row>
    <row r="509" spans="1:10" x14ac:dyDescent="0.25">
      <c r="A509" s="2">
        <v>45227</v>
      </c>
      <c r="B509">
        <v>2023</v>
      </c>
      <c r="C509" t="s">
        <v>34</v>
      </c>
      <c r="D509">
        <v>10</v>
      </c>
      <c r="E509" t="s">
        <v>11</v>
      </c>
      <c r="F509" t="s">
        <v>24</v>
      </c>
      <c r="G509" s="3">
        <v>684</v>
      </c>
      <c r="H509" s="3">
        <v>25.69</v>
      </c>
      <c r="I509" s="3">
        <v>17571.96</v>
      </c>
      <c r="J509" s="3">
        <v>22.45</v>
      </c>
    </row>
    <row r="510" spans="1:10" x14ac:dyDescent="0.25">
      <c r="A510" s="2">
        <v>45227</v>
      </c>
      <c r="B510">
        <v>2023</v>
      </c>
      <c r="C510" t="s">
        <v>34</v>
      </c>
      <c r="D510">
        <v>10</v>
      </c>
      <c r="E510" t="s">
        <v>11</v>
      </c>
      <c r="F510" t="s">
        <v>14</v>
      </c>
      <c r="G510" s="3">
        <v>408</v>
      </c>
      <c r="H510" s="3">
        <v>130.33000000000001</v>
      </c>
      <c r="I510" s="3">
        <v>53174.64</v>
      </c>
      <c r="J510" s="3">
        <v>-3.05</v>
      </c>
    </row>
    <row r="511" spans="1:10" x14ac:dyDescent="0.25">
      <c r="A511" s="2">
        <v>45227</v>
      </c>
      <c r="B511">
        <v>2023</v>
      </c>
      <c r="C511" t="s">
        <v>34</v>
      </c>
      <c r="D511">
        <v>10</v>
      </c>
      <c r="E511" t="s">
        <v>11</v>
      </c>
      <c r="F511" t="s">
        <v>15</v>
      </c>
      <c r="G511" s="3">
        <v>765</v>
      </c>
      <c r="H511" s="3">
        <v>176.77</v>
      </c>
      <c r="I511" s="3">
        <v>135229.04999999999</v>
      </c>
      <c r="J511" s="3">
        <v>13.56</v>
      </c>
    </row>
    <row r="512" spans="1:10" x14ac:dyDescent="0.25">
      <c r="A512" s="2">
        <v>45227</v>
      </c>
      <c r="B512">
        <v>2023</v>
      </c>
      <c r="C512" t="s">
        <v>34</v>
      </c>
      <c r="D512">
        <v>10</v>
      </c>
      <c r="E512" t="s">
        <v>11</v>
      </c>
      <c r="F512" t="s">
        <v>16</v>
      </c>
      <c r="G512" s="3">
        <v>367</v>
      </c>
      <c r="H512" s="3">
        <v>161.02000000000001</v>
      </c>
      <c r="I512" s="3">
        <v>59094.34</v>
      </c>
      <c r="J512" s="3">
        <v>9.49</v>
      </c>
    </row>
    <row r="513" spans="1:10" x14ac:dyDescent="0.25">
      <c r="A513" s="2">
        <v>45227</v>
      </c>
      <c r="B513">
        <v>2023</v>
      </c>
      <c r="C513" t="s">
        <v>34</v>
      </c>
      <c r="D513">
        <v>10</v>
      </c>
      <c r="E513" t="s">
        <v>11</v>
      </c>
      <c r="F513" t="s">
        <v>17</v>
      </c>
      <c r="G513" s="3">
        <v>432</v>
      </c>
      <c r="H513" s="3">
        <v>34.42</v>
      </c>
      <c r="I513" s="3">
        <v>14869.44</v>
      </c>
      <c r="J513" s="3">
        <v>20.79</v>
      </c>
    </row>
    <row r="514" spans="1:10" x14ac:dyDescent="0.25">
      <c r="A514" s="2">
        <v>45227</v>
      </c>
      <c r="B514">
        <v>2023</v>
      </c>
      <c r="C514" t="s">
        <v>34</v>
      </c>
      <c r="D514">
        <v>10</v>
      </c>
      <c r="E514" t="s">
        <v>11</v>
      </c>
      <c r="F514" t="s">
        <v>19</v>
      </c>
      <c r="G514" s="3">
        <v>564</v>
      </c>
      <c r="H514" s="3">
        <v>27.34</v>
      </c>
      <c r="I514" s="3">
        <v>15419.76</v>
      </c>
      <c r="J514" s="3">
        <v>-8.44</v>
      </c>
    </row>
    <row r="515" spans="1:10" x14ac:dyDescent="0.25">
      <c r="A515" s="2">
        <v>45227</v>
      </c>
      <c r="B515">
        <v>2023</v>
      </c>
      <c r="C515" t="s">
        <v>34</v>
      </c>
      <c r="D515">
        <v>10</v>
      </c>
      <c r="E515" t="s">
        <v>11</v>
      </c>
      <c r="F515" t="s">
        <v>20</v>
      </c>
      <c r="G515" s="3">
        <v>63</v>
      </c>
      <c r="H515" s="3">
        <v>34.69</v>
      </c>
      <c r="I515" s="3">
        <v>2185.4699999999998</v>
      </c>
      <c r="J515" s="3">
        <v>-12.59</v>
      </c>
    </row>
    <row r="516" spans="1:10" x14ac:dyDescent="0.25">
      <c r="A516" s="2">
        <v>45227</v>
      </c>
      <c r="B516">
        <v>2023</v>
      </c>
      <c r="C516" t="s">
        <v>34</v>
      </c>
      <c r="D516">
        <v>10</v>
      </c>
      <c r="E516" t="s">
        <v>11</v>
      </c>
      <c r="F516" t="s">
        <v>21</v>
      </c>
      <c r="G516" s="3">
        <v>136</v>
      </c>
      <c r="H516" s="3">
        <v>137.05000000000001</v>
      </c>
      <c r="I516" s="3">
        <v>18638.8</v>
      </c>
      <c r="J516" s="3">
        <v>4.17</v>
      </c>
    </row>
    <row r="517" spans="1:10" x14ac:dyDescent="0.25">
      <c r="A517" s="2">
        <v>45227</v>
      </c>
      <c r="B517">
        <v>2023</v>
      </c>
      <c r="C517" t="s">
        <v>34</v>
      </c>
      <c r="D517">
        <v>10</v>
      </c>
      <c r="E517" t="s">
        <v>11</v>
      </c>
      <c r="F517" t="s">
        <v>22</v>
      </c>
      <c r="G517" s="3">
        <v>292</v>
      </c>
      <c r="H517" s="3">
        <v>59.46</v>
      </c>
      <c r="I517" s="3">
        <v>17362.32</v>
      </c>
      <c r="J517" s="3">
        <v>24.03</v>
      </c>
    </row>
    <row r="518" spans="1:10" x14ac:dyDescent="0.25">
      <c r="A518" s="2">
        <v>45227</v>
      </c>
      <c r="B518">
        <v>2023</v>
      </c>
      <c r="C518" t="s">
        <v>34</v>
      </c>
      <c r="D518">
        <v>10</v>
      </c>
      <c r="E518" t="s">
        <v>11</v>
      </c>
      <c r="F518" t="s">
        <v>18</v>
      </c>
      <c r="G518" s="3">
        <v>439</v>
      </c>
      <c r="H518" s="3">
        <v>167.11</v>
      </c>
      <c r="I518" s="3">
        <v>73361.289999999994</v>
      </c>
      <c r="J518" s="3">
        <v>3.09</v>
      </c>
    </row>
    <row r="519" spans="1:10" x14ac:dyDescent="0.25">
      <c r="A519" s="2">
        <v>45227</v>
      </c>
      <c r="B519">
        <v>2023</v>
      </c>
      <c r="C519" t="s">
        <v>34</v>
      </c>
      <c r="D519">
        <v>10</v>
      </c>
      <c r="E519" t="s">
        <v>26</v>
      </c>
      <c r="F519" t="s">
        <v>12</v>
      </c>
      <c r="G519" s="3">
        <v>358</v>
      </c>
      <c r="H519" s="3">
        <v>138.57</v>
      </c>
      <c r="I519" s="3">
        <v>49608.06</v>
      </c>
      <c r="J519" s="3">
        <v>4.93</v>
      </c>
    </row>
    <row r="520" spans="1:10" x14ac:dyDescent="0.25">
      <c r="A520" s="2">
        <v>45227</v>
      </c>
      <c r="B520">
        <v>2023</v>
      </c>
      <c r="C520" t="s">
        <v>34</v>
      </c>
      <c r="D520">
        <v>10</v>
      </c>
      <c r="E520" t="s">
        <v>11</v>
      </c>
      <c r="F520" t="s">
        <v>25</v>
      </c>
      <c r="G520" s="3">
        <v>405</v>
      </c>
      <c r="H520" s="3">
        <v>153.97</v>
      </c>
      <c r="I520" s="3">
        <v>62357.85</v>
      </c>
      <c r="J520" s="3">
        <v>19.87</v>
      </c>
    </row>
    <row r="521" spans="1:10" x14ac:dyDescent="0.25">
      <c r="A521" s="2">
        <v>45227</v>
      </c>
      <c r="B521">
        <v>2023</v>
      </c>
      <c r="C521" t="s">
        <v>34</v>
      </c>
      <c r="D521">
        <v>10</v>
      </c>
      <c r="E521" t="s">
        <v>26</v>
      </c>
      <c r="F521" t="s">
        <v>20</v>
      </c>
      <c r="G521" s="3">
        <v>431</v>
      </c>
      <c r="H521" s="3">
        <v>197.78</v>
      </c>
      <c r="I521" s="3">
        <v>85243.18</v>
      </c>
      <c r="J521" s="3">
        <v>-13.4</v>
      </c>
    </row>
    <row r="522" spans="1:10" x14ac:dyDescent="0.25">
      <c r="A522" s="2">
        <v>45227</v>
      </c>
      <c r="B522">
        <v>2023</v>
      </c>
      <c r="C522" t="s">
        <v>34</v>
      </c>
      <c r="D522">
        <v>10</v>
      </c>
      <c r="E522" t="s">
        <v>26</v>
      </c>
      <c r="F522" t="s">
        <v>19</v>
      </c>
      <c r="G522" s="3">
        <v>453</v>
      </c>
      <c r="H522" s="3">
        <v>133.18</v>
      </c>
      <c r="I522" s="3">
        <v>60330.54</v>
      </c>
      <c r="J522" s="3">
        <v>14.41</v>
      </c>
    </row>
    <row r="523" spans="1:10" x14ac:dyDescent="0.25">
      <c r="A523" s="2">
        <v>45227</v>
      </c>
      <c r="B523">
        <v>2023</v>
      </c>
      <c r="C523" t="s">
        <v>34</v>
      </c>
      <c r="D523">
        <v>10</v>
      </c>
      <c r="E523" t="s">
        <v>26</v>
      </c>
      <c r="F523" t="s">
        <v>18</v>
      </c>
      <c r="G523" s="3">
        <v>774</v>
      </c>
      <c r="H523" s="3">
        <v>150.88999999999999</v>
      </c>
      <c r="I523" s="3">
        <v>116788.86</v>
      </c>
      <c r="J523" s="3">
        <v>14.71</v>
      </c>
    </row>
    <row r="524" spans="1:10" x14ac:dyDescent="0.25">
      <c r="A524" s="2">
        <v>45227</v>
      </c>
      <c r="B524">
        <v>2023</v>
      </c>
      <c r="C524" t="s">
        <v>34</v>
      </c>
      <c r="D524">
        <v>10</v>
      </c>
      <c r="E524" t="s">
        <v>26</v>
      </c>
      <c r="F524" t="s">
        <v>17</v>
      </c>
      <c r="G524" s="3">
        <v>402</v>
      </c>
      <c r="H524" s="3">
        <v>171.28</v>
      </c>
      <c r="I524" s="3">
        <v>68854.559999999998</v>
      </c>
      <c r="J524" s="3">
        <v>-8.0299999999999994</v>
      </c>
    </row>
    <row r="525" spans="1:10" x14ac:dyDescent="0.25">
      <c r="A525" s="2">
        <v>45227</v>
      </c>
      <c r="B525">
        <v>2023</v>
      </c>
      <c r="C525" t="s">
        <v>34</v>
      </c>
      <c r="D525">
        <v>10</v>
      </c>
      <c r="E525" t="s">
        <v>26</v>
      </c>
      <c r="F525" t="s">
        <v>21</v>
      </c>
      <c r="G525" s="3">
        <v>738</v>
      </c>
      <c r="H525" s="3">
        <v>112.52</v>
      </c>
      <c r="I525" s="3">
        <v>83039.759999999995</v>
      </c>
      <c r="J525" s="3">
        <v>8.52</v>
      </c>
    </row>
    <row r="526" spans="1:10" x14ac:dyDescent="0.25">
      <c r="A526" s="2">
        <v>45227</v>
      </c>
      <c r="B526">
        <v>2023</v>
      </c>
      <c r="C526" t="s">
        <v>34</v>
      </c>
      <c r="D526">
        <v>10</v>
      </c>
      <c r="E526" t="s">
        <v>26</v>
      </c>
      <c r="F526" t="s">
        <v>15</v>
      </c>
      <c r="G526" s="3">
        <v>692</v>
      </c>
      <c r="H526" s="3">
        <v>34.67</v>
      </c>
      <c r="I526" s="3">
        <v>23991.64</v>
      </c>
      <c r="J526" s="3">
        <v>1.1299999999999999</v>
      </c>
    </row>
    <row r="527" spans="1:10" x14ac:dyDescent="0.25">
      <c r="A527" s="2">
        <v>45227</v>
      </c>
      <c r="B527">
        <v>2023</v>
      </c>
      <c r="C527" t="s">
        <v>34</v>
      </c>
      <c r="D527">
        <v>10</v>
      </c>
      <c r="E527" t="s">
        <v>26</v>
      </c>
      <c r="F527" t="s">
        <v>14</v>
      </c>
      <c r="G527" s="3">
        <v>598</v>
      </c>
      <c r="H527" s="3">
        <v>199.34</v>
      </c>
      <c r="I527" s="3">
        <v>119205.32</v>
      </c>
      <c r="J527" s="3">
        <v>23.99</v>
      </c>
    </row>
    <row r="528" spans="1:10" x14ac:dyDescent="0.25">
      <c r="A528" s="2">
        <v>45227</v>
      </c>
      <c r="B528">
        <v>2023</v>
      </c>
      <c r="C528" t="s">
        <v>34</v>
      </c>
      <c r="D528">
        <v>10</v>
      </c>
      <c r="E528" t="s">
        <v>26</v>
      </c>
      <c r="F528" t="s">
        <v>24</v>
      </c>
      <c r="G528" s="3">
        <v>643</v>
      </c>
      <c r="H528" s="3">
        <v>23.76</v>
      </c>
      <c r="I528" s="3">
        <v>15277.68</v>
      </c>
      <c r="J528" s="3">
        <v>11.13</v>
      </c>
    </row>
    <row r="529" spans="1:10" x14ac:dyDescent="0.25">
      <c r="A529" s="2">
        <v>45227</v>
      </c>
      <c r="B529">
        <v>2023</v>
      </c>
      <c r="C529" t="s">
        <v>34</v>
      </c>
      <c r="D529">
        <v>10</v>
      </c>
      <c r="E529" t="s">
        <v>26</v>
      </c>
      <c r="F529" t="s">
        <v>16</v>
      </c>
      <c r="G529" s="3">
        <v>494</v>
      </c>
      <c r="H529" s="3">
        <v>33</v>
      </c>
      <c r="I529" s="3">
        <v>16302</v>
      </c>
      <c r="J529" s="3">
        <v>-13.77</v>
      </c>
    </row>
    <row r="530" spans="1:10" x14ac:dyDescent="0.25">
      <c r="A530" s="2">
        <v>45257</v>
      </c>
      <c r="B530">
        <v>2023</v>
      </c>
      <c r="C530" t="s">
        <v>35</v>
      </c>
      <c r="D530">
        <v>11</v>
      </c>
      <c r="E530" t="s">
        <v>13</v>
      </c>
      <c r="F530" t="s">
        <v>25</v>
      </c>
      <c r="G530" s="3">
        <v>166</v>
      </c>
      <c r="H530" s="3">
        <v>181.65</v>
      </c>
      <c r="I530" s="3">
        <v>30153.9</v>
      </c>
      <c r="J530" s="3">
        <v>-5.26</v>
      </c>
    </row>
    <row r="531" spans="1:10" x14ac:dyDescent="0.25">
      <c r="A531" s="2">
        <v>45257</v>
      </c>
      <c r="B531">
        <v>2023</v>
      </c>
      <c r="C531" t="s">
        <v>35</v>
      </c>
      <c r="D531">
        <v>11</v>
      </c>
      <c r="E531" t="s">
        <v>13</v>
      </c>
      <c r="F531" t="s">
        <v>14</v>
      </c>
      <c r="G531" s="3">
        <v>546</v>
      </c>
      <c r="H531" s="3">
        <v>100</v>
      </c>
      <c r="I531" s="3">
        <v>54600</v>
      </c>
      <c r="J531" s="3">
        <v>-14.41</v>
      </c>
    </row>
    <row r="532" spans="1:10" x14ac:dyDescent="0.25">
      <c r="A532" s="2">
        <v>45257</v>
      </c>
      <c r="B532">
        <v>2023</v>
      </c>
      <c r="C532" t="s">
        <v>35</v>
      </c>
      <c r="D532">
        <v>11</v>
      </c>
      <c r="E532" t="s">
        <v>13</v>
      </c>
      <c r="F532" t="s">
        <v>15</v>
      </c>
      <c r="G532" s="3">
        <v>316</v>
      </c>
      <c r="H532" s="3">
        <v>128.62</v>
      </c>
      <c r="I532" s="3">
        <v>40643.919999999998</v>
      </c>
      <c r="J532" s="3">
        <v>11.73</v>
      </c>
    </row>
    <row r="533" spans="1:10" x14ac:dyDescent="0.25">
      <c r="A533" s="2">
        <v>45257</v>
      </c>
      <c r="B533">
        <v>2023</v>
      </c>
      <c r="C533" t="s">
        <v>35</v>
      </c>
      <c r="D533">
        <v>11</v>
      </c>
      <c r="E533" t="s">
        <v>13</v>
      </c>
      <c r="F533" t="s">
        <v>16</v>
      </c>
      <c r="G533" s="3">
        <v>52</v>
      </c>
      <c r="H533" s="3">
        <v>117.63</v>
      </c>
      <c r="I533" s="3">
        <v>6116.76</v>
      </c>
      <c r="J533" s="3">
        <v>23.06</v>
      </c>
    </row>
    <row r="534" spans="1:10" x14ac:dyDescent="0.25">
      <c r="A534" s="2">
        <v>45257</v>
      </c>
      <c r="B534">
        <v>2023</v>
      </c>
      <c r="C534" t="s">
        <v>35</v>
      </c>
      <c r="D534">
        <v>11</v>
      </c>
      <c r="E534" t="s">
        <v>13</v>
      </c>
      <c r="F534" t="s">
        <v>17</v>
      </c>
      <c r="G534" s="3">
        <v>499</v>
      </c>
      <c r="H534" s="3">
        <v>106.25</v>
      </c>
      <c r="I534" s="3">
        <v>53018.75</v>
      </c>
      <c r="J534" s="3">
        <v>-13.97</v>
      </c>
    </row>
    <row r="535" spans="1:10" x14ac:dyDescent="0.25">
      <c r="A535" s="2">
        <v>45257</v>
      </c>
      <c r="B535">
        <v>2023</v>
      </c>
      <c r="C535" t="s">
        <v>35</v>
      </c>
      <c r="D535">
        <v>11</v>
      </c>
      <c r="E535" t="s">
        <v>13</v>
      </c>
      <c r="F535" t="s">
        <v>18</v>
      </c>
      <c r="G535" s="3">
        <v>203</v>
      </c>
      <c r="H535" s="3">
        <v>39.61</v>
      </c>
      <c r="I535" s="3">
        <v>8040.83</v>
      </c>
      <c r="J535" s="3">
        <v>-9.0399999999999991</v>
      </c>
    </row>
    <row r="536" spans="1:10" x14ac:dyDescent="0.25">
      <c r="A536" s="2">
        <v>45257</v>
      </c>
      <c r="B536">
        <v>2023</v>
      </c>
      <c r="C536" t="s">
        <v>35</v>
      </c>
      <c r="D536">
        <v>11</v>
      </c>
      <c r="E536" t="s">
        <v>13</v>
      </c>
      <c r="F536" t="s">
        <v>19</v>
      </c>
      <c r="G536" s="3">
        <v>353</v>
      </c>
      <c r="H536" s="3">
        <v>124.43</v>
      </c>
      <c r="I536" s="3">
        <v>43923.79</v>
      </c>
      <c r="J536" s="3">
        <v>6.34</v>
      </c>
    </row>
    <row r="537" spans="1:10" x14ac:dyDescent="0.25">
      <c r="A537" s="2">
        <v>45257</v>
      </c>
      <c r="B537">
        <v>2023</v>
      </c>
      <c r="C537" t="s">
        <v>35</v>
      </c>
      <c r="D537">
        <v>11</v>
      </c>
      <c r="E537" t="s">
        <v>13</v>
      </c>
      <c r="F537" t="s">
        <v>20</v>
      </c>
      <c r="G537" s="3">
        <v>92</v>
      </c>
      <c r="H537" s="3">
        <v>157.68</v>
      </c>
      <c r="I537" s="3">
        <v>14506.56</v>
      </c>
      <c r="J537" s="3">
        <v>17.52</v>
      </c>
    </row>
    <row r="538" spans="1:10" x14ac:dyDescent="0.25">
      <c r="A538" s="2">
        <v>45257</v>
      </c>
      <c r="B538">
        <v>2023</v>
      </c>
      <c r="C538" t="s">
        <v>35</v>
      </c>
      <c r="D538">
        <v>11</v>
      </c>
      <c r="E538" t="s">
        <v>13</v>
      </c>
      <c r="F538" t="s">
        <v>21</v>
      </c>
      <c r="G538" s="3">
        <v>547</v>
      </c>
      <c r="H538" s="3">
        <v>148.79</v>
      </c>
      <c r="I538" s="3">
        <v>81388.13</v>
      </c>
      <c r="J538" s="3">
        <v>5.85</v>
      </c>
    </row>
    <row r="539" spans="1:10" x14ac:dyDescent="0.25">
      <c r="A539" s="2">
        <v>45257</v>
      </c>
      <c r="B539">
        <v>2023</v>
      </c>
      <c r="C539" t="s">
        <v>35</v>
      </c>
      <c r="D539">
        <v>11</v>
      </c>
      <c r="E539" t="s">
        <v>13</v>
      </c>
      <c r="F539" t="s">
        <v>22</v>
      </c>
      <c r="G539" s="3">
        <v>70</v>
      </c>
      <c r="H539" s="3">
        <v>55.24</v>
      </c>
      <c r="I539" s="3">
        <v>3866.8</v>
      </c>
      <c r="J539" s="3">
        <v>-14.7</v>
      </c>
    </row>
    <row r="540" spans="1:10" x14ac:dyDescent="0.25">
      <c r="A540" s="2">
        <v>45257</v>
      </c>
      <c r="B540">
        <v>2023</v>
      </c>
      <c r="C540" t="s">
        <v>35</v>
      </c>
      <c r="D540">
        <v>11</v>
      </c>
      <c r="E540" t="s">
        <v>23</v>
      </c>
      <c r="F540" t="s">
        <v>12</v>
      </c>
      <c r="G540" s="3">
        <v>764</v>
      </c>
      <c r="H540" s="3">
        <v>88.41</v>
      </c>
      <c r="I540" s="3">
        <v>67545.240000000005</v>
      </c>
      <c r="J540" s="3">
        <v>-7.11</v>
      </c>
    </row>
    <row r="541" spans="1:10" x14ac:dyDescent="0.25">
      <c r="A541" s="2">
        <v>45257</v>
      </c>
      <c r="B541">
        <v>2023</v>
      </c>
      <c r="C541" t="s">
        <v>35</v>
      </c>
      <c r="D541">
        <v>11</v>
      </c>
      <c r="E541" t="s">
        <v>23</v>
      </c>
      <c r="F541" t="s">
        <v>25</v>
      </c>
      <c r="G541" s="3">
        <v>608</v>
      </c>
      <c r="H541" s="3">
        <v>191.25</v>
      </c>
      <c r="I541" s="3">
        <v>116280</v>
      </c>
      <c r="J541" s="3">
        <v>9.06</v>
      </c>
    </row>
    <row r="542" spans="1:10" x14ac:dyDescent="0.25">
      <c r="A542" s="2">
        <v>45257</v>
      </c>
      <c r="B542">
        <v>2023</v>
      </c>
      <c r="C542" t="s">
        <v>35</v>
      </c>
      <c r="D542">
        <v>11</v>
      </c>
      <c r="E542" t="s">
        <v>23</v>
      </c>
      <c r="F542" t="s">
        <v>14</v>
      </c>
      <c r="G542" s="3">
        <v>422</v>
      </c>
      <c r="H542" s="3">
        <v>71.28</v>
      </c>
      <c r="I542" s="3">
        <v>30080.16</v>
      </c>
      <c r="J542" s="3">
        <v>-2.71</v>
      </c>
    </row>
    <row r="543" spans="1:10" x14ac:dyDescent="0.25">
      <c r="A543" s="2">
        <v>45257</v>
      </c>
      <c r="B543">
        <v>2023</v>
      </c>
      <c r="C543" t="s">
        <v>35</v>
      </c>
      <c r="D543">
        <v>11</v>
      </c>
      <c r="E543" t="s">
        <v>23</v>
      </c>
      <c r="F543" t="s">
        <v>15</v>
      </c>
      <c r="G543" s="3">
        <v>205</v>
      </c>
      <c r="H543" s="3">
        <v>117.05</v>
      </c>
      <c r="I543" s="3">
        <v>23995.25</v>
      </c>
      <c r="J543" s="3">
        <v>-2.5499999999999998</v>
      </c>
    </row>
    <row r="544" spans="1:10" x14ac:dyDescent="0.25">
      <c r="A544" s="2">
        <v>45257</v>
      </c>
      <c r="B544">
        <v>2023</v>
      </c>
      <c r="C544" t="s">
        <v>35</v>
      </c>
      <c r="D544">
        <v>11</v>
      </c>
      <c r="E544" t="s">
        <v>23</v>
      </c>
      <c r="F544" t="s">
        <v>16</v>
      </c>
      <c r="G544" s="3">
        <v>469</v>
      </c>
      <c r="H544" s="3">
        <v>149.16999999999999</v>
      </c>
      <c r="I544" s="3">
        <v>69960.73</v>
      </c>
      <c r="J544" s="3">
        <v>1</v>
      </c>
    </row>
    <row r="545" spans="1:10" x14ac:dyDescent="0.25">
      <c r="A545" s="2">
        <v>45257</v>
      </c>
      <c r="B545">
        <v>2023</v>
      </c>
      <c r="C545" t="s">
        <v>35</v>
      </c>
      <c r="D545">
        <v>11</v>
      </c>
      <c r="E545" t="s">
        <v>23</v>
      </c>
      <c r="F545" t="s">
        <v>17</v>
      </c>
      <c r="G545" s="3">
        <v>638</v>
      </c>
      <c r="H545" s="3">
        <v>94.44</v>
      </c>
      <c r="I545" s="3">
        <v>60252.72</v>
      </c>
      <c r="J545" s="3">
        <v>-10.119999999999999</v>
      </c>
    </row>
    <row r="546" spans="1:10" x14ac:dyDescent="0.25">
      <c r="A546" s="2">
        <v>45257</v>
      </c>
      <c r="B546">
        <v>2023</v>
      </c>
      <c r="C546" t="s">
        <v>35</v>
      </c>
      <c r="D546">
        <v>11</v>
      </c>
      <c r="E546" t="s">
        <v>23</v>
      </c>
      <c r="F546" t="s">
        <v>18</v>
      </c>
      <c r="G546" s="3">
        <v>508</v>
      </c>
      <c r="H546" s="3">
        <v>42.18</v>
      </c>
      <c r="I546" s="3">
        <v>21427.439999999999</v>
      </c>
      <c r="J546" s="3">
        <v>19.38</v>
      </c>
    </row>
    <row r="547" spans="1:10" x14ac:dyDescent="0.25">
      <c r="A547" s="2">
        <v>45257</v>
      </c>
      <c r="B547">
        <v>2023</v>
      </c>
      <c r="C547" t="s">
        <v>35</v>
      </c>
      <c r="D547">
        <v>11</v>
      </c>
      <c r="E547" t="s">
        <v>23</v>
      </c>
      <c r="F547" t="s">
        <v>19</v>
      </c>
      <c r="G547" s="3">
        <v>88</v>
      </c>
      <c r="H547" s="3">
        <v>114.53</v>
      </c>
      <c r="I547" s="3">
        <v>10078.64</v>
      </c>
      <c r="J547" s="3">
        <v>13.36</v>
      </c>
    </row>
    <row r="548" spans="1:10" x14ac:dyDescent="0.25">
      <c r="A548" s="2">
        <v>45257</v>
      </c>
      <c r="B548">
        <v>2023</v>
      </c>
      <c r="C548" t="s">
        <v>35</v>
      </c>
      <c r="D548">
        <v>11</v>
      </c>
      <c r="E548" t="s">
        <v>23</v>
      </c>
      <c r="F548" t="s">
        <v>20</v>
      </c>
      <c r="G548" s="3">
        <v>361</v>
      </c>
      <c r="H548" s="3">
        <v>162.81</v>
      </c>
      <c r="I548" s="3">
        <v>58774.41</v>
      </c>
      <c r="J548" s="3">
        <v>-7.59</v>
      </c>
    </row>
    <row r="549" spans="1:10" x14ac:dyDescent="0.25">
      <c r="A549" s="2">
        <v>45257</v>
      </c>
      <c r="B549">
        <v>2023</v>
      </c>
      <c r="C549" t="s">
        <v>35</v>
      </c>
      <c r="D549">
        <v>11</v>
      </c>
      <c r="E549" t="s">
        <v>23</v>
      </c>
      <c r="F549" t="s">
        <v>21</v>
      </c>
      <c r="G549" s="3">
        <v>85</v>
      </c>
      <c r="H549" s="3">
        <v>96.41</v>
      </c>
      <c r="I549" s="3">
        <v>8194.85</v>
      </c>
      <c r="J549" s="3">
        <v>-11.52</v>
      </c>
    </row>
    <row r="550" spans="1:10" x14ac:dyDescent="0.25">
      <c r="A550" s="2">
        <v>45257</v>
      </c>
      <c r="B550">
        <v>2023</v>
      </c>
      <c r="C550" t="s">
        <v>35</v>
      </c>
      <c r="D550">
        <v>11</v>
      </c>
      <c r="E550" t="s">
        <v>23</v>
      </c>
      <c r="F550" t="s">
        <v>22</v>
      </c>
      <c r="G550" s="3">
        <v>434</v>
      </c>
      <c r="H550" s="3">
        <v>87.23</v>
      </c>
      <c r="I550" s="3">
        <v>37857.82</v>
      </c>
      <c r="J550" s="3">
        <v>6.06</v>
      </c>
    </row>
    <row r="551" spans="1:10" x14ac:dyDescent="0.25">
      <c r="A551" s="2">
        <v>45257</v>
      </c>
      <c r="B551">
        <v>2023</v>
      </c>
      <c r="C551" t="s">
        <v>35</v>
      </c>
      <c r="D551">
        <v>11</v>
      </c>
      <c r="E551" t="s">
        <v>13</v>
      </c>
      <c r="F551" t="s">
        <v>24</v>
      </c>
      <c r="G551" s="3">
        <v>654</v>
      </c>
      <c r="H551" s="3">
        <v>100.76</v>
      </c>
      <c r="I551" s="3">
        <v>65897.039999999994</v>
      </c>
      <c r="J551" s="3">
        <v>-5.5</v>
      </c>
    </row>
    <row r="552" spans="1:10" x14ac:dyDescent="0.25">
      <c r="A552" s="2">
        <v>45257</v>
      </c>
      <c r="B552">
        <v>2023</v>
      </c>
      <c r="C552" t="s">
        <v>35</v>
      </c>
      <c r="D552">
        <v>11</v>
      </c>
      <c r="E552" t="s">
        <v>23</v>
      </c>
      <c r="F552" t="s">
        <v>24</v>
      </c>
      <c r="G552" s="3">
        <v>190</v>
      </c>
      <c r="H552" s="3">
        <v>83.29</v>
      </c>
      <c r="I552" s="3">
        <v>15825.1</v>
      </c>
      <c r="J552" s="3">
        <v>-10.94</v>
      </c>
    </row>
    <row r="553" spans="1:10" x14ac:dyDescent="0.25">
      <c r="A553" s="2">
        <v>45257</v>
      </c>
      <c r="B553">
        <v>2023</v>
      </c>
      <c r="C553" t="s">
        <v>35</v>
      </c>
      <c r="D553">
        <v>11</v>
      </c>
      <c r="E553" t="s">
        <v>13</v>
      </c>
      <c r="F553" t="s">
        <v>12</v>
      </c>
      <c r="G553" s="3">
        <v>760</v>
      </c>
      <c r="H553" s="3">
        <v>121.42</v>
      </c>
      <c r="I553" s="3">
        <v>92279.2</v>
      </c>
      <c r="J553" s="3">
        <v>0.22</v>
      </c>
    </row>
    <row r="554" spans="1:10" x14ac:dyDescent="0.25">
      <c r="A554" s="2">
        <v>45257</v>
      </c>
      <c r="B554">
        <v>2023</v>
      </c>
      <c r="C554" t="s">
        <v>35</v>
      </c>
      <c r="D554">
        <v>11</v>
      </c>
      <c r="E554" t="s">
        <v>26</v>
      </c>
      <c r="F554" t="s">
        <v>25</v>
      </c>
      <c r="G554" s="3">
        <v>774</v>
      </c>
      <c r="H554" s="3">
        <v>78.430000000000007</v>
      </c>
      <c r="I554" s="3">
        <v>60704.82</v>
      </c>
      <c r="J554" s="3">
        <v>-0.34</v>
      </c>
    </row>
    <row r="555" spans="1:10" x14ac:dyDescent="0.25">
      <c r="A555" s="2">
        <v>45257</v>
      </c>
      <c r="B555">
        <v>2023</v>
      </c>
      <c r="C555" t="s">
        <v>35</v>
      </c>
      <c r="D555">
        <v>11</v>
      </c>
      <c r="E555" t="s">
        <v>26</v>
      </c>
      <c r="F555" t="s">
        <v>22</v>
      </c>
      <c r="G555" s="3">
        <v>393</v>
      </c>
      <c r="H555" s="3">
        <v>73.44</v>
      </c>
      <c r="I555" s="3">
        <v>28861.919999999998</v>
      </c>
      <c r="J555" s="3">
        <v>10.96</v>
      </c>
    </row>
    <row r="556" spans="1:10" x14ac:dyDescent="0.25">
      <c r="A556" s="2">
        <v>45257</v>
      </c>
      <c r="B556">
        <v>2023</v>
      </c>
      <c r="C556" t="s">
        <v>35</v>
      </c>
      <c r="D556">
        <v>11</v>
      </c>
      <c r="E556" t="s">
        <v>11</v>
      </c>
      <c r="F556" t="s">
        <v>24</v>
      </c>
      <c r="G556" s="3">
        <v>300</v>
      </c>
      <c r="H556" s="3">
        <v>20.89</v>
      </c>
      <c r="I556" s="3">
        <v>6267</v>
      </c>
      <c r="J556" s="3">
        <v>23.07</v>
      </c>
    </row>
    <row r="557" spans="1:10" x14ac:dyDescent="0.25">
      <c r="A557" s="2">
        <v>45257</v>
      </c>
      <c r="B557">
        <v>2023</v>
      </c>
      <c r="C557" t="s">
        <v>35</v>
      </c>
      <c r="D557">
        <v>11</v>
      </c>
      <c r="E557" t="s">
        <v>11</v>
      </c>
      <c r="F557" t="s">
        <v>14</v>
      </c>
      <c r="G557" s="3">
        <v>355</v>
      </c>
      <c r="H557" s="3">
        <v>195.16</v>
      </c>
      <c r="I557" s="3">
        <v>69281.8</v>
      </c>
      <c r="J557" s="3">
        <v>8.1999999999999993</v>
      </c>
    </row>
    <row r="558" spans="1:10" x14ac:dyDescent="0.25">
      <c r="A558" s="2">
        <v>45257</v>
      </c>
      <c r="B558">
        <v>2023</v>
      </c>
      <c r="C558" t="s">
        <v>35</v>
      </c>
      <c r="D558">
        <v>11</v>
      </c>
      <c r="E558" t="s">
        <v>11</v>
      </c>
      <c r="F558" t="s">
        <v>15</v>
      </c>
      <c r="G558" s="3">
        <v>233</v>
      </c>
      <c r="H558" s="3">
        <v>112.81</v>
      </c>
      <c r="I558" s="3">
        <v>26284.73</v>
      </c>
      <c r="J558" s="3">
        <v>4.55</v>
      </c>
    </row>
    <row r="559" spans="1:10" x14ac:dyDescent="0.25">
      <c r="A559" s="2">
        <v>45257</v>
      </c>
      <c r="B559">
        <v>2023</v>
      </c>
      <c r="C559" t="s">
        <v>35</v>
      </c>
      <c r="D559">
        <v>11</v>
      </c>
      <c r="E559" t="s">
        <v>11</v>
      </c>
      <c r="F559" t="s">
        <v>16</v>
      </c>
      <c r="G559" s="3">
        <v>477</v>
      </c>
      <c r="H559" s="3">
        <v>115.8</v>
      </c>
      <c r="I559" s="3">
        <v>55236.6</v>
      </c>
      <c r="J559" s="3">
        <v>-9.9700000000000006</v>
      </c>
    </row>
    <row r="560" spans="1:10" x14ac:dyDescent="0.25">
      <c r="A560" s="2">
        <v>45257</v>
      </c>
      <c r="B560">
        <v>2023</v>
      </c>
      <c r="C560" t="s">
        <v>35</v>
      </c>
      <c r="D560">
        <v>11</v>
      </c>
      <c r="E560" t="s">
        <v>11</v>
      </c>
      <c r="F560" t="s">
        <v>17</v>
      </c>
      <c r="G560" s="3">
        <v>687</v>
      </c>
      <c r="H560" s="3">
        <v>75.430000000000007</v>
      </c>
      <c r="I560" s="3">
        <v>51820.41</v>
      </c>
      <c r="J560" s="3">
        <v>13.19</v>
      </c>
    </row>
    <row r="561" spans="1:10" x14ac:dyDescent="0.25">
      <c r="A561" s="2">
        <v>45257</v>
      </c>
      <c r="B561">
        <v>2023</v>
      </c>
      <c r="C561" t="s">
        <v>35</v>
      </c>
      <c r="D561">
        <v>11</v>
      </c>
      <c r="E561" t="s">
        <v>11</v>
      </c>
      <c r="F561" t="s">
        <v>18</v>
      </c>
      <c r="G561" s="3">
        <v>795</v>
      </c>
      <c r="H561" s="3">
        <v>151.91999999999999</v>
      </c>
      <c r="I561" s="3">
        <v>120776.4</v>
      </c>
      <c r="J561" s="3">
        <v>-8.5</v>
      </c>
    </row>
    <row r="562" spans="1:10" x14ac:dyDescent="0.25">
      <c r="A562" s="2">
        <v>45257</v>
      </c>
      <c r="B562">
        <v>2023</v>
      </c>
      <c r="C562" t="s">
        <v>35</v>
      </c>
      <c r="D562">
        <v>11</v>
      </c>
      <c r="E562" t="s">
        <v>11</v>
      </c>
      <c r="F562" t="s">
        <v>19</v>
      </c>
      <c r="G562" s="3">
        <v>390</v>
      </c>
      <c r="H562" s="3">
        <v>36.9</v>
      </c>
      <c r="I562" s="3">
        <v>14391</v>
      </c>
      <c r="J562" s="3">
        <v>11.9</v>
      </c>
    </row>
    <row r="563" spans="1:10" x14ac:dyDescent="0.25">
      <c r="A563" s="2">
        <v>45257</v>
      </c>
      <c r="B563">
        <v>2023</v>
      </c>
      <c r="C563" t="s">
        <v>35</v>
      </c>
      <c r="D563">
        <v>11</v>
      </c>
      <c r="E563" t="s">
        <v>11</v>
      </c>
      <c r="F563" t="s">
        <v>20</v>
      </c>
      <c r="G563" s="3">
        <v>401</v>
      </c>
      <c r="H563" s="3">
        <v>62.22</v>
      </c>
      <c r="I563" s="3">
        <v>24950.22</v>
      </c>
      <c r="J563" s="3">
        <v>23.53</v>
      </c>
    </row>
    <row r="564" spans="1:10" x14ac:dyDescent="0.25">
      <c r="A564" s="2">
        <v>45257</v>
      </c>
      <c r="B564">
        <v>2023</v>
      </c>
      <c r="C564" t="s">
        <v>35</v>
      </c>
      <c r="D564">
        <v>11</v>
      </c>
      <c r="E564" t="s">
        <v>11</v>
      </c>
      <c r="F564" t="s">
        <v>21</v>
      </c>
      <c r="G564" s="3">
        <v>224</v>
      </c>
      <c r="H564" s="3">
        <v>144.66999999999999</v>
      </c>
      <c r="I564" s="3">
        <v>32406.080000000002</v>
      </c>
      <c r="J564" s="3">
        <v>18.52</v>
      </c>
    </row>
    <row r="565" spans="1:10" x14ac:dyDescent="0.25">
      <c r="A565" s="2">
        <v>45257</v>
      </c>
      <c r="B565">
        <v>2023</v>
      </c>
      <c r="C565" t="s">
        <v>35</v>
      </c>
      <c r="D565">
        <v>11</v>
      </c>
      <c r="E565" t="s">
        <v>11</v>
      </c>
      <c r="F565" t="s">
        <v>22</v>
      </c>
      <c r="G565" s="3">
        <v>267</v>
      </c>
      <c r="H565" s="3">
        <v>87.37</v>
      </c>
      <c r="I565" s="3">
        <v>23327.79</v>
      </c>
      <c r="J565" s="3">
        <v>-14.3</v>
      </c>
    </row>
    <row r="566" spans="1:10" x14ac:dyDescent="0.25">
      <c r="A566" s="2">
        <v>45257</v>
      </c>
      <c r="B566">
        <v>2023</v>
      </c>
      <c r="C566" t="s">
        <v>35</v>
      </c>
      <c r="D566">
        <v>11</v>
      </c>
      <c r="E566" t="s">
        <v>11</v>
      </c>
      <c r="F566" t="s">
        <v>12</v>
      </c>
      <c r="G566" s="3">
        <v>539</v>
      </c>
      <c r="H566" s="3">
        <v>91.53</v>
      </c>
      <c r="I566" s="3">
        <v>49334.67</v>
      </c>
      <c r="J566" s="3">
        <v>4.2</v>
      </c>
    </row>
    <row r="567" spans="1:10" x14ac:dyDescent="0.25">
      <c r="A567" s="2">
        <v>45257</v>
      </c>
      <c r="B567">
        <v>2023</v>
      </c>
      <c r="C567" t="s">
        <v>35</v>
      </c>
      <c r="D567">
        <v>11</v>
      </c>
      <c r="E567" t="s">
        <v>26</v>
      </c>
      <c r="F567" t="s">
        <v>12</v>
      </c>
      <c r="G567" s="3">
        <v>637</v>
      </c>
      <c r="H567" s="3">
        <v>40.36</v>
      </c>
      <c r="I567" s="3">
        <v>25709.32</v>
      </c>
      <c r="J567" s="3">
        <v>16.82</v>
      </c>
    </row>
    <row r="568" spans="1:10" x14ac:dyDescent="0.25">
      <c r="A568" s="2">
        <v>45257</v>
      </c>
      <c r="B568">
        <v>2023</v>
      </c>
      <c r="C568" t="s">
        <v>35</v>
      </c>
      <c r="D568">
        <v>11</v>
      </c>
      <c r="E568" t="s">
        <v>26</v>
      </c>
      <c r="F568" t="s">
        <v>24</v>
      </c>
      <c r="G568" s="3">
        <v>50</v>
      </c>
      <c r="H568" s="3">
        <v>58.82</v>
      </c>
      <c r="I568" s="3">
        <v>2941</v>
      </c>
      <c r="J568" s="3">
        <v>11.36</v>
      </c>
    </row>
    <row r="569" spans="1:10" x14ac:dyDescent="0.25">
      <c r="A569" s="2">
        <v>45257</v>
      </c>
      <c r="B569">
        <v>2023</v>
      </c>
      <c r="C569" t="s">
        <v>35</v>
      </c>
      <c r="D569">
        <v>11</v>
      </c>
      <c r="E569" t="s">
        <v>26</v>
      </c>
      <c r="F569" t="s">
        <v>14</v>
      </c>
      <c r="G569" s="3">
        <v>102</v>
      </c>
      <c r="H569" s="3">
        <v>140.05000000000001</v>
      </c>
      <c r="I569" s="3">
        <v>14285.1</v>
      </c>
      <c r="J569" s="3">
        <v>8.09</v>
      </c>
    </row>
    <row r="570" spans="1:10" x14ac:dyDescent="0.25">
      <c r="A570" s="2">
        <v>45257</v>
      </c>
      <c r="B570">
        <v>2023</v>
      </c>
      <c r="C570" t="s">
        <v>35</v>
      </c>
      <c r="D570">
        <v>11</v>
      </c>
      <c r="E570" t="s">
        <v>26</v>
      </c>
      <c r="F570" t="s">
        <v>15</v>
      </c>
      <c r="G570" s="3">
        <v>269</v>
      </c>
      <c r="H570" s="3">
        <v>48.67</v>
      </c>
      <c r="I570" s="3">
        <v>13092.23</v>
      </c>
      <c r="J570" s="3">
        <v>9.1999999999999993</v>
      </c>
    </row>
    <row r="571" spans="1:10" x14ac:dyDescent="0.25">
      <c r="A571" s="2">
        <v>45257</v>
      </c>
      <c r="B571">
        <v>2023</v>
      </c>
      <c r="C571" t="s">
        <v>35</v>
      </c>
      <c r="D571">
        <v>11</v>
      </c>
      <c r="E571" t="s">
        <v>26</v>
      </c>
      <c r="F571" t="s">
        <v>16</v>
      </c>
      <c r="G571" s="3">
        <v>624</v>
      </c>
      <c r="H571" s="3">
        <v>195.89</v>
      </c>
      <c r="I571" s="3">
        <v>122235.36</v>
      </c>
      <c r="J571" s="3">
        <v>1.28</v>
      </c>
    </row>
    <row r="572" spans="1:10" x14ac:dyDescent="0.25">
      <c r="A572" s="2">
        <v>45257</v>
      </c>
      <c r="B572">
        <v>2023</v>
      </c>
      <c r="C572" t="s">
        <v>35</v>
      </c>
      <c r="D572">
        <v>11</v>
      </c>
      <c r="E572" t="s">
        <v>26</v>
      </c>
      <c r="F572" t="s">
        <v>17</v>
      </c>
      <c r="G572" s="3">
        <v>737</v>
      </c>
      <c r="H572" s="3">
        <v>155.44</v>
      </c>
      <c r="I572" s="3">
        <v>114559.28</v>
      </c>
      <c r="J572" s="3">
        <v>-11.38</v>
      </c>
    </row>
    <row r="573" spans="1:10" x14ac:dyDescent="0.25">
      <c r="A573" s="2">
        <v>45257</v>
      </c>
      <c r="B573">
        <v>2023</v>
      </c>
      <c r="C573" t="s">
        <v>35</v>
      </c>
      <c r="D573">
        <v>11</v>
      </c>
      <c r="E573" t="s">
        <v>26</v>
      </c>
      <c r="F573" t="s">
        <v>18</v>
      </c>
      <c r="G573" s="3">
        <v>208</v>
      </c>
      <c r="H573" s="3">
        <v>152.91999999999999</v>
      </c>
      <c r="I573" s="3">
        <v>31807.360000000001</v>
      </c>
      <c r="J573" s="3">
        <v>20.14</v>
      </c>
    </row>
    <row r="574" spans="1:10" x14ac:dyDescent="0.25">
      <c r="A574" s="2">
        <v>45257</v>
      </c>
      <c r="B574">
        <v>2023</v>
      </c>
      <c r="C574" t="s">
        <v>35</v>
      </c>
      <c r="D574">
        <v>11</v>
      </c>
      <c r="E574" t="s">
        <v>26</v>
      </c>
      <c r="F574" t="s">
        <v>19</v>
      </c>
      <c r="G574" s="3">
        <v>430</v>
      </c>
      <c r="H574" s="3">
        <v>157.72999999999999</v>
      </c>
      <c r="I574" s="3">
        <v>67823.899999999994</v>
      </c>
      <c r="J574" s="3">
        <v>22.03</v>
      </c>
    </row>
    <row r="575" spans="1:10" x14ac:dyDescent="0.25">
      <c r="A575" s="2">
        <v>45257</v>
      </c>
      <c r="B575">
        <v>2023</v>
      </c>
      <c r="C575" t="s">
        <v>35</v>
      </c>
      <c r="D575">
        <v>11</v>
      </c>
      <c r="E575" t="s">
        <v>26</v>
      </c>
      <c r="F575" t="s">
        <v>20</v>
      </c>
      <c r="G575" s="3">
        <v>68</v>
      </c>
      <c r="H575" s="3">
        <v>165.41</v>
      </c>
      <c r="I575" s="3">
        <v>11247.88</v>
      </c>
      <c r="J575" s="3">
        <v>15.49</v>
      </c>
    </row>
    <row r="576" spans="1:10" x14ac:dyDescent="0.25">
      <c r="A576" s="2">
        <v>45257</v>
      </c>
      <c r="B576">
        <v>2023</v>
      </c>
      <c r="C576" t="s">
        <v>35</v>
      </c>
      <c r="D576">
        <v>11</v>
      </c>
      <c r="E576" t="s">
        <v>26</v>
      </c>
      <c r="F576" t="s">
        <v>21</v>
      </c>
      <c r="G576" s="3">
        <v>328</v>
      </c>
      <c r="H576" s="3">
        <v>98.4</v>
      </c>
      <c r="I576" s="3">
        <v>32275.200000000001</v>
      </c>
      <c r="J576" s="3">
        <v>17.71</v>
      </c>
    </row>
    <row r="577" spans="1:10" x14ac:dyDescent="0.25">
      <c r="A577" s="2">
        <v>45257</v>
      </c>
      <c r="B577">
        <v>2023</v>
      </c>
      <c r="C577" t="s">
        <v>35</v>
      </c>
      <c r="D577">
        <v>11</v>
      </c>
      <c r="E577" t="s">
        <v>11</v>
      </c>
      <c r="F577" t="s">
        <v>25</v>
      </c>
      <c r="G577" s="3">
        <v>194</v>
      </c>
      <c r="H577" s="3">
        <v>169.56</v>
      </c>
      <c r="I577" s="3">
        <v>32894.639999999999</v>
      </c>
      <c r="J577" s="3">
        <v>19.579999999999998</v>
      </c>
    </row>
    <row r="578" spans="1:10" x14ac:dyDescent="0.25">
      <c r="A578" s="2">
        <v>45287</v>
      </c>
      <c r="B578">
        <v>2023</v>
      </c>
      <c r="C578" t="s">
        <v>36</v>
      </c>
      <c r="D578">
        <v>12</v>
      </c>
      <c r="E578" t="s">
        <v>13</v>
      </c>
      <c r="F578" t="s">
        <v>21</v>
      </c>
      <c r="G578" s="3">
        <v>679</v>
      </c>
      <c r="H578" s="3">
        <v>198.65</v>
      </c>
      <c r="I578" s="3">
        <v>134883.35</v>
      </c>
      <c r="J578" s="3">
        <v>22.08</v>
      </c>
    </row>
    <row r="579" spans="1:10" x14ac:dyDescent="0.25">
      <c r="A579" s="2">
        <v>45287</v>
      </c>
      <c r="B579">
        <v>2023</v>
      </c>
      <c r="C579" t="s">
        <v>36</v>
      </c>
      <c r="D579">
        <v>12</v>
      </c>
      <c r="E579" t="s">
        <v>13</v>
      </c>
      <c r="F579" t="s">
        <v>20</v>
      </c>
      <c r="G579" s="3">
        <v>286</v>
      </c>
      <c r="H579" s="3">
        <v>41.57</v>
      </c>
      <c r="I579" s="3">
        <v>11889.02</v>
      </c>
      <c r="J579" s="3">
        <v>23.97</v>
      </c>
    </row>
    <row r="580" spans="1:10" x14ac:dyDescent="0.25">
      <c r="A580" s="2">
        <v>45287</v>
      </c>
      <c r="B580">
        <v>2023</v>
      </c>
      <c r="C580" t="s">
        <v>36</v>
      </c>
      <c r="D580">
        <v>12</v>
      </c>
      <c r="E580" t="s">
        <v>13</v>
      </c>
      <c r="F580" t="s">
        <v>19</v>
      </c>
      <c r="G580" s="3">
        <v>697</v>
      </c>
      <c r="H580" s="3">
        <v>163.18</v>
      </c>
      <c r="I580" s="3">
        <v>113736.46</v>
      </c>
      <c r="J580" s="3">
        <v>22.09</v>
      </c>
    </row>
    <row r="581" spans="1:10" x14ac:dyDescent="0.25">
      <c r="A581" s="2">
        <v>45287</v>
      </c>
      <c r="B581">
        <v>2023</v>
      </c>
      <c r="C581" t="s">
        <v>36</v>
      </c>
      <c r="D581">
        <v>12</v>
      </c>
      <c r="E581" t="s">
        <v>13</v>
      </c>
      <c r="F581" t="s">
        <v>14</v>
      </c>
      <c r="G581" s="3">
        <v>403</v>
      </c>
      <c r="H581" s="3">
        <v>100.34</v>
      </c>
      <c r="I581" s="3">
        <v>40437.019999999997</v>
      </c>
      <c r="J581" s="3">
        <v>-1.66</v>
      </c>
    </row>
    <row r="582" spans="1:10" x14ac:dyDescent="0.25">
      <c r="A582" s="2">
        <v>45287</v>
      </c>
      <c r="B582">
        <v>2023</v>
      </c>
      <c r="C582" t="s">
        <v>36</v>
      </c>
      <c r="D582">
        <v>12</v>
      </c>
      <c r="E582" t="s">
        <v>13</v>
      </c>
      <c r="F582" t="s">
        <v>17</v>
      </c>
      <c r="G582" s="3">
        <v>257</v>
      </c>
      <c r="H582" s="3">
        <v>93.71</v>
      </c>
      <c r="I582" s="3">
        <v>24083.47</v>
      </c>
      <c r="J582" s="3">
        <v>1.91</v>
      </c>
    </row>
    <row r="583" spans="1:10" x14ac:dyDescent="0.25">
      <c r="A583" s="2">
        <v>45287</v>
      </c>
      <c r="B583">
        <v>2023</v>
      </c>
      <c r="C583" t="s">
        <v>36</v>
      </c>
      <c r="D583">
        <v>12</v>
      </c>
      <c r="E583" t="s">
        <v>13</v>
      </c>
      <c r="F583" t="s">
        <v>16</v>
      </c>
      <c r="G583" s="3">
        <v>526</v>
      </c>
      <c r="H583" s="3">
        <v>144.19999999999999</v>
      </c>
      <c r="I583" s="3">
        <v>75849.2</v>
      </c>
      <c r="J583" s="3">
        <v>-6.96</v>
      </c>
    </row>
    <row r="584" spans="1:10" x14ac:dyDescent="0.25">
      <c r="A584" s="2">
        <v>45287</v>
      </c>
      <c r="B584">
        <v>2023</v>
      </c>
      <c r="C584" t="s">
        <v>36</v>
      </c>
      <c r="D584">
        <v>12</v>
      </c>
      <c r="E584" t="s">
        <v>13</v>
      </c>
      <c r="F584" t="s">
        <v>15</v>
      </c>
      <c r="G584" s="3">
        <v>711</v>
      </c>
      <c r="H584" s="3">
        <v>121.21</v>
      </c>
      <c r="I584" s="3">
        <v>86180.31</v>
      </c>
      <c r="J584" s="3">
        <v>23.31</v>
      </c>
    </row>
    <row r="585" spans="1:10" x14ac:dyDescent="0.25">
      <c r="A585" s="2">
        <v>45287</v>
      </c>
      <c r="B585">
        <v>2023</v>
      </c>
      <c r="C585" t="s">
        <v>36</v>
      </c>
      <c r="D585">
        <v>12</v>
      </c>
      <c r="E585" t="s">
        <v>13</v>
      </c>
      <c r="F585" t="s">
        <v>22</v>
      </c>
      <c r="G585" s="3">
        <v>413</v>
      </c>
      <c r="H585" s="3">
        <v>63.86</v>
      </c>
      <c r="I585" s="3">
        <v>26374.18</v>
      </c>
      <c r="J585" s="3">
        <v>11.86</v>
      </c>
    </row>
    <row r="586" spans="1:10" x14ac:dyDescent="0.25">
      <c r="A586" s="2">
        <v>45287</v>
      </c>
      <c r="B586">
        <v>2023</v>
      </c>
      <c r="C586" t="s">
        <v>36</v>
      </c>
      <c r="D586">
        <v>12</v>
      </c>
      <c r="E586" t="s">
        <v>13</v>
      </c>
      <c r="F586" t="s">
        <v>18</v>
      </c>
      <c r="G586" s="3">
        <v>104</v>
      </c>
      <c r="H586" s="3">
        <v>156.11000000000001</v>
      </c>
      <c r="I586" s="3">
        <v>16235.44</v>
      </c>
      <c r="J586" s="3">
        <v>-1.1000000000000001</v>
      </c>
    </row>
    <row r="587" spans="1:10" x14ac:dyDescent="0.25">
      <c r="A587" s="2">
        <v>45287</v>
      </c>
      <c r="B587">
        <v>2023</v>
      </c>
      <c r="C587" t="s">
        <v>36</v>
      </c>
      <c r="D587">
        <v>12</v>
      </c>
      <c r="E587" t="s">
        <v>13</v>
      </c>
      <c r="F587" t="s">
        <v>25</v>
      </c>
      <c r="G587" s="3">
        <v>133</v>
      </c>
      <c r="H587" s="3">
        <v>132.25</v>
      </c>
      <c r="I587" s="3">
        <v>17589.25</v>
      </c>
      <c r="J587" s="3">
        <v>-11.44</v>
      </c>
    </row>
    <row r="588" spans="1:10" x14ac:dyDescent="0.25">
      <c r="A588" s="2">
        <v>45287</v>
      </c>
      <c r="B588">
        <v>2023</v>
      </c>
      <c r="C588" t="s">
        <v>36</v>
      </c>
      <c r="D588">
        <v>12</v>
      </c>
      <c r="E588" t="s">
        <v>23</v>
      </c>
      <c r="F588" t="s">
        <v>17</v>
      </c>
      <c r="G588" s="3">
        <v>456</v>
      </c>
      <c r="H588" s="3">
        <v>189.63</v>
      </c>
      <c r="I588" s="3">
        <v>86471.28</v>
      </c>
      <c r="J588" s="3">
        <v>19.93</v>
      </c>
    </row>
    <row r="589" spans="1:10" x14ac:dyDescent="0.25">
      <c r="A589" s="2">
        <v>45287</v>
      </c>
      <c r="B589">
        <v>2023</v>
      </c>
      <c r="C589" t="s">
        <v>36</v>
      </c>
      <c r="D589">
        <v>12</v>
      </c>
      <c r="E589" t="s">
        <v>23</v>
      </c>
      <c r="F589" t="s">
        <v>24</v>
      </c>
      <c r="G589" s="3">
        <v>509</v>
      </c>
      <c r="H589" s="3">
        <v>160.77000000000001</v>
      </c>
      <c r="I589" s="3">
        <v>81831.929999999993</v>
      </c>
      <c r="J589" s="3">
        <v>13.35</v>
      </c>
    </row>
    <row r="590" spans="1:10" x14ac:dyDescent="0.25">
      <c r="A590" s="2">
        <v>45287</v>
      </c>
      <c r="B590">
        <v>2023</v>
      </c>
      <c r="C590" t="s">
        <v>36</v>
      </c>
      <c r="D590">
        <v>12</v>
      </c>
      <c r="E590" t="s">
        <v>23</v>
      </c>
      <c r="F590" t="s">
        <v>14</v>
      </c>
      <c r="G590" s="3">
        <v>703</v>
      </c>
      <c r="H590" s="3">
        <v>41.18</v>
      </c>
      <c r="I590" s="3">
        <v>28949.54</v>
      </c>
      <c r="J590" s="3">
        <v>-5.91</v>
      </c>
    </row>
    <row r="591" spans="1:10" x14ac:dyDescent="0.25">
      <c r="A591" s="2">
        <v>45287</v>
      </c>
      <c r="B591">
        <v>2023</v>
      </c>
      <c r="C591" t="s">
        <v>36</v>
      </c>
      <c r="D591">
        <v>12</v>
      </c>
      <c r="E591" t="s">
        <v>23</v>
      </c>
      <c r="F591" t="s">
        <v>15</v>
      </c>
      <c r="G591" s="3">
        <v>798</v>
      </c>
      <c r="H591" s="3">
        <v>84.82</v>
      </c>
      <c r="I591" s="3">
        <v>67686.36</v>
      </c>
      <c r="J591" s="3">
        <v>-11.49</v>
      </c>
    </row>
    <row r="592" spans="1:10" x14ac:dyDescent="0.25">
      <c r="A592" s="2">
        <v>45287</v>
      </c>
      <c r="B592">
        <v>2023</v>
      </c>
      <c r="C592" t="s">
        <v>36</v>
      </c>
      <c r="D592">
        <v>12</v>
      </c>
      <c r="E592" t="s">
        <v>23</v>
      </c>
      <c r="F592" t="s">
        <v>16</v>
      </c>
      <c r="G592" s="3">
        <v>498</v>
      </c>
      <c r="H592" s="3">
        <v>74.989999999999995</v>
      </c>
      <c r="I592" s="3">
        <v>37345.019999999997</v>
      </c>
      <c r="J592" s="3">
        <v>0.88</v>
      </c>
    </row>
    <row r="593" spans="1:10" x14ac:dyDescent="0.25">
      <c r="A593" s="2">
        <v>45287</v>
      </c>
      <c r="B593">
        <v>2023</v>
      </c>
      <c r="C593" t="s">
        <v>36</v>
      </c>
      <c r="D593">
        <v>12</v>
      </c>
      <c r="E593" t="s">
        <v>23</v>
      </c>
      <c r="F593" t="s">
        <v>18</v>
      </c>
      <c r="G593" s="3">
        <v>311</v>
      </c>
      <c r="H593" s="3">
        <v>185.49</v>
      </c>
      <c r="I593" s="3">
        <v>57687.39</v>
      </c>
      <c r="J593" s="3">
        <v>4.88</v>
      </c>
    </row>
    <row r="594" spans="1:10" x14ac:dyDescent="0.25">
      <c r="A594" s="2">
        <v>45287</v>
      </c>
      <c r="B594">
        <v>2023</v>
      </c>
      <c r="C594" t="s">
        <v>36</v>
      </c>
      <c r="D594">
        <v>12</v>
      </c>
      <c r="E594" t="s">
        <v>23</v>
      </c>
      <c r="F594" t="s">
        <v>19</v>
      </c>
      <c r="G594" s="3">
        <v>391</v>
      </c>
      <c r="H594" s="3">
        <v>121.98</v>
      </c>
      <c r="I594" s="3">
        <v>47694.18</v>
      </c>
      <c r="J594" s="3">
        <v>0.64</v>
      </c>
    </row>
    <row r="595" spans="1:10" x14ac:dyDescent="0.25">
      <c r="A595" s="2">
        <v>45287</v>
      </c>
      <c r="B595">
        <v>2023</v>
      </c>
      <c r="C595" t="s">
        <v>36</v>
      </c>
      <c r="D595">
        <v>12</v>
      </c>
      <c r="E595" t="s">
        <v>23</v>
      </c>
      <c r="F595" t="s">
        <v>20</v>
      </c>
      <c r="G595" s="3">
        <v>61</v>
      </c>
      <c r="H595" s="3">
        <v>187.51</v>
      </c>
      <c r="I595" s="3">
        <v>11438.11</v>
      </c>
      <c r="J595" s="3">
        <v>-10.35</v>
      </c>
    </row>
    <row r="596" spans="1:10" x14ac:dyDescent="0.25">
      <c r="A596" s="2">
        <v>45287</v>
      </c>
      <c r="B596">
        <v>2023</v>
      </c>
      <c r="C596" t="s">
        <v>36</v>
      </c>
      <c r="D596">
        <v>12</v>
      </c>
      <c r="E596" t="s">
        <v>23</v>
      </c>
      <c r="F596" t="s">
        <v>21</v>
      </c>
      <c r="G596" s="3">
        <v>643</v>
      </c>
      <c r="H596" s="3">
        <v>133.03</v>
      </c>
      <c r="I596" s="3">
        <v>85538.29</v>
      </c>
      <c r="J596" s="3">
        <v>11.97</v>
      </c>
    </row>
    <row r="597" spans="1:10" x14ac:dyDescent="0.25">
      <c r="A597" s="2">
        <v>45287</v>
      </c>
      <c r="B597">
        <v>2023</v>
      </c>
      <c r="C597" t="s">
        <v>36</v>
      </c>
      <c r="D597">
        <v>12</v>
      </c>
      <c r="E597" t="s">
        <v>23</v>
      </c>
      <c r="F597" t="s">
        <v>22</v>
      </c>
      <c r="G597" s="3">
        <v>719</v>
      </c>
      <c r="H597" s="3">
        <v>149.86000000000001</v>
      </c>
      <c r="I597" s="3">
        <v>107749.34</v>
      </c>
      <c r="J597" s="3">
        <v>-9.35</v>
      </c>
    </row>
    <row r="598" spans="1:10" x14ac:dyDescent="0.25">
      <c r="A598" s="2">
        <v>45287</v>
      </c>
      <c r="B598">
        <v>2023</v>
      </c>
      <c r="C598" t="s">
        <v>36</v>
      </c>
      <c r="D598">
        <v>12</v>
      </c>
      <c r="E598" t="s">
        <v>13</v>
      </c>
      <c r="F598" t="s">
        <v>24</v>
      </c>
      <c r="G598" s="3">
        <v>776</v>
      </c>
      <c r="H598" s="3">
        <v>88.13</v>
      </c>
      <c r="I598" s="3">
        <v>68388.88</v>
      </c>
      <c r="J598" s="3">
        <v>-0.48</v>
      </c>
    </row>
    <row r="599" spans="1:10" x14ac:dyDescent="0.25">
      <c r="A599" s="2">
        <v>45287</v>
      </c>
      <c r="B599">
        <v>2023</v>
      </c>
      <c r="C599" t="s">
        <v>36</v>
      </c>
      <c r="D599">
        <v>12</v>
      </c>
      <c r="E599" t="s">
        <v>23</v>
      </c>
      <c r="F599" t="s">
        <v>12</v>
      </c>
      <c r="G599" s="3">
        <v>792</v>
      </c>
      <c r="H599" s="3">
        <v>175.64</v>
      </c>
      <c r="I599" s="3">
        <v>139106.88</v>
      </c>
      <c r="J599" s="3">
        <v>9.34</v>
      </c>
    </row>
    <row r="600" spans="1:10" x14ac:dyDescent="0.25">
      <c r="A600" s="2">
        <v>45287</v>
      </c>
      <c r="B600">
        <v>2023</v>
      </c>
      <c r="C600" t="s">
        <v>36</v>
      </c>
      <c r="D600">
        <v>12</v>
      </c>
      <c r="E600" t="s">
        <v>13</v>
      </c>
      <c r="F600" t="s">
        <v>12</v>
      </c>
      <c r="G600" s="3">
        <v>107</v>
      </c>
      <c r="H600" s="3">
        <v>79.94</v>
      </c>
      <c r="I600" s="3">
        <v>8553.58</v>
      </c>
      <c r="J600" s="3">
        <v>11.78</v>
      </c>
    </row>
    <row r="601" spans="1:10" x14ac:dyDescent="0.25">
      <c r="A601" s="2">
        <v>45287</v>
      </c>
      <c r="B601">
        <v>2023</v>
      </c>
      <c r="C601" t="s">
        <v>36</v>
      </c>
      <c r="D601">
        <v>12</v>
      </c>
      <c r="E601" t="s">
        <v>23</v>
      </c>
      <c r="F601" t="s">
        <v>25</v>
      </c>
      <c r="G601" s="3">
        <v>56</v>
      </c>
      <c r="H601" s="3">
        <v>74.84</v>
      </c>
      <c r="I601" s="3">
        <v>4191.04</v>
      </c>
      <c r="J601" s="3">
        <v>-11.76</v>
      </c>
    </row>
    <row r="602" spans="1:10" x14ac:dyDescent="0.25">
      <c r="A602" s="2">
        <v>45287</v>
      </c>
      <c r="B602">
        <v>2023</v>
      </c>
      <c r="C602" t="s">
        <v>36</v>
      </c>
      <c r="D602">
        <v>12</v>
      </c>
      <c r="E602" t="s">
        <v>26</v>
      </c>
      <c r="F602" t="s">
        <v>22</v>
      </c>
      <c r="G602" s="3">
        <v>209</v>
      </c>
      <c r="H602" s="3">
        <v>117.2</v>
      </c>
      <c r="I602" s="3">
        <v>24494.799999999999</v>
      </c>
      <c r="J602" s="3">
        <v>20.2</v>
      </c>
    </row>
    <row r="603" spans="1:10" x14ac:dyDescent="0.25">
      <c r="A603" s="2">
        <v>45287</v>
      </c>
      <c r="B603">
        <v>2023</v>
      </c>
      <c r="C603" t="s">
        <v>36</v>
      </c>
      <c r="D603">
        <v>12</v>
      </c>
      <c r="E603" t="s">
        <v>11</v>
      </c>
      <c r="F603" t="s">
        <v>12</v>
      </c>
      <c r="G603" s="3">
        <v>167</v>
      </c>
      <c r="H603" s="3">
        <v>112.73</v>
      </c>
      <c r="I603" s="3">
        <v>18825.91</v>
      </c>
      <c r="J603" s="3">
        <v>8.74</v>
      </c>
    </row>
    <row r="604" spans="1:10" x14ac:dyDescent="0.25">
      <c r="A604" s="2">
        <v>45287</v>
      </c>
      <c r="B604">
        <v>2023</v>
      </c>
      <c r="C604" t="s">
        <v>36</v>
      </c>
      <c r="D604">
        <v>12</v>
      </c>
      <c r="E604" t="s">
        <v>11</v>
      </c>
      <c r="F604" t="s">
        <v>24</v>
      </c>
      <c r="G604" s="3">
        <v>75</v>
      </c>
      <c r="H604" s="3">
        <v>58.17</v>
      </c>
      <c r="I604" s="3">
        <v>4362.75</v>
      </c>
      <c r="J604" s="3">
        <v>9.44</v>
      </c>
    </row>
    <row r="605" spans="1:10" x14ac:dyDescent="0.25">
      <c r="A605" s="2">
        <v>45287</v>
      </c>
      <c r="B605">
        <v>2023</v>
      </c>
      <c r="C605" t="s">
        <v>36</v>
      </c>
      <c r="D605">
        <v>12</v>
      </c>
      <c r="E605" t="s">
        <v>11</v>
      </c>
      <c r="F605" t="s">
        <v>14</v>
      </c>
      <c r="G605" s="3">
        <v>427</v>
      </c>
      <c r="H605" s="3">
        <v>84.94</v>
      </c>
      <c r="I605" s="3">
        <v>36269.379999999997</v>
      </c>
      <c r="J605" s="3">
        <v>21.24</v>
      </c>
    </row>
    <row r="606" spans="1:10" x14ac:dyDescent="0.25">
      <c r="A606" s="2">
        <v>45287</v>
      </c>
      <c r="B606">
        <v>2023</v>
      </c>
      <c r="C606" t="s">
        <v>36</v>
      </c>
      <c r="D606">
        <v>12</v>
      </c>
      <c r="E606" t="s">
        <v>11</v>
      </c>
      <c r="F606" t="s">
        <v>15</v>
      </c>
      <c r="G606" s="3">
        <v>201</v>
      </c>
      <c r="H606" s="3">
        <v>83.62</v>
      </c>
      <c r="I606" s="3">
        <v>16807.62</v>
      </c>
      <c r="J606" s="3">
        <v>-5.53</v>
      </c>
    </row>
    <row r="607" spans="1:10" x14ac:dyDescent="0.25">
      <c r="A607" s="2">
        <v>45287</v>
      </c>
      <c r="B607">
        <v>2023</v>
      </c>
      <c r="C607" t="s">
        <v>36</v>
      </c>
      <c r="D607">
        <v>12</v>
      </c>
      <c r="E607" t="s">
        <v>11</v>
      </c>
      <c r="F607" t="s">
        <v>16</v>
      </c>
      <c r="G607" s="3">
        <v>342</v>
      </c>
      <c r="H607" s="3">
        <v>74.37</v>
      </c>
      <c r="I607" s="3">
        <v>25434.54</v>
      </c>
      <c r="J607" s="3">
        <v>14.28</v>
      </c>
    </row>
    <row r="608" spans="1:10" x14ac:dyDescent="0.25">
      <c r="A608" s="2">
        <v>45287</v>
      </c>
      <c r="B608">
        <v>2023</v>
      </c>
      <c r="C608" t="s">
        <v>36</v>
      </c>
      <c r="D608">
        <v>12</v>
      </c>
      <c r="E608" t="s">
        <v>11</v>
      </c>
      <c r="F608" t="s">
        <v>17</v>
      </c>
      <c r="G608" s="3">
        <v>661</v>
      </c>
      <c r="H608" s="3">
        <v>96.27</v>
      </c>
      <c r="I608" s="3">
        <v>63634.47</v>
      </c>
      <c r="J608" s="3">
        <v>11.7</v>
      </c>
    </row>
    <row r="609" spans="1:10" x14ac:dyDescent="0.25">
      <c r="A609" s="2">
        <v>45287</v>
      </c>
      <c r="B609">
        <v>2023</v>
      </c>
      <c r="C609" t="s">
        <v>36</v>
      </c>
      <c r="D609">
        <v>12</v>
      </c>
      <c r="E609" t="s">
        <v>11</v>
      </c>
      <c r="F609" t="s">
        <v>18</v>
      </c>
      <c r="G609" s="3">
        <v>195</v>
      </c>
      <c r="H609" s="3">
        <v>158</v>
      </c>
      <c r="I609" s="3">
        <v>30810</v>
      </c>
      <c r="J609" s="3">
        <v>-9.01</v>
      </c>
    </row>
    <row r="610" spans="1:10" x14ac:dyDescent="0.25">
      <c r="A610" s="2">
        <v>45287</v>
      </c>
      <c r="B610">
        <v>2023</v>
      </c>
      <c r="C610" t="s">
        <v>36</v>
      </c>
      <c r="D610">
        <v>12</v>
      </c>
      <c r="E610" t="s">
        <v>11</v>
      </c>
      <c r="F610" t="s">
        <v>19</v>
      </c>
      <c r="G610" s="3">
        <v>488</v>
      </c>
      <c r="H610" s="3">
        <v>125.59</v>
      </c>
      <c r="I610" s="3">
        <v>61287.92</v>
      </c>
      <c r="J610" s="3">
        <v>-8.2799999999999994</v>
      </c>
    </row>
    <row r="611" spans="1:10" x14ac:dyDescent="0.25">
      <c r="A611" s="2">
        <v>45287</v>
      </c>
      <c r="B611">
        <v>2023</v>
      </c>
      <c r="C611" t="s">
        <v>36</v>
      </c>
      <c r="D611">
        <v>12</v>
      </c>
      <c r="E611" t="s">
        <v>11</v>
      </c>
      <c r="F611" t="s">
        <v>20</v>
      </c>
      <c r="G611" s="3">
        <v>532</v>
      </c>
      <c r="H611" s="3">
        <v>176.47</v>
      </c>
      <c r="I611" s="3">
        <v>93882.04</v>
      </c>
      <c r="J611" s="3">
        <v>3.92</v>
      </c>
    </row>
    <row r="612" spans="1:10" x14ac:dyDescent="0.25">
      <c r="A612" s="2">
        <v>45287</v>
      </c>
      <c r="B612">
        <v>2023</v>
      </c>
      <c r="C612" t="s">
        <v>36</v>
      </c>
      <c r="D612">
        <v>12</v>
      </c>
      <c r="E612" t="s">
        <v>11</v>
      </c>
      <c r="F612" t="s">
        <v>21</v>
      </c>
      <c r="G612" s="3">
        <v>710</v>
      </c>
      <c r="H612" s="3">
        <v>37.229999999999997</v>
      </c>
      <c r="I612" s="3">
        <v>26433.3</v>
      </c>
      <c r="J612" s="3">
        <v>-14.05</v>
      </c>
    </row>
    <row r="613" spans="1:10" x14ac:dyDescent="0.25">
      <c r="A613" s="2">
        <v>45287</v>
      </c>
      <c r="B613">
        <v>2023</v>
      </c>
      <c r="C613" t="s">
        <v>36</v>
      </c>
      <c r="D613">
        <v>12</v>
      </c>
      <c r="E613" t="s">
        <v>11</v>
      </c>
      <c r="F613" t="s">
        <v>22</v>
      </c>
      <c r="G613" s="3">
        <v>704</v>
      </c>
      <c r="H613" s="3">
        <v>61.44</v>
      </c>
      <c r="I613" s="3">
        <v>43253.760000000002</v>
      </c>
      <c r="J613" s="3">
        <v>-6.75</v>
      </c>
    </row>
    <row r="614" spans="1:10" x14ac:dyDescent="0.25">
      <c r="A614" s="2">
        <v>45287</v>
      </c>
      <c r="B614">
        <v>2023</v>
      </c>
      <c r="C614" t="s">
        <v>36</v>
      </c>
      <c r="D614">
        <v>12</v>
      </c>
      <c r="E614" t="s">
        <v>26</v>
      </c>
      <c r="F614" t="s">
        <v>25</v>
      </c>
      <c r="G614" s="3">
        <v>611</v>
      </c>
      <c r="H614" s="3">
        <v>142.41999999999999</v>
      </c>
      <c r="I614" s="3">
        <v>87018.62</v>
      </c>
      <c r="J614" s="3">
        <v>-5.77</v>
      </c>
    </row>
    <row r="615" spans="1:10" x14ac:dyDescent="0.25">
      <c r="A615" s="2">
        <v>45287</v>
      </c>
      <c r="B615">
        <v>2023</v>
      </c>
      <c r="C615" t="s">
        <v>36</v>
      </c>
      <c r="D615">
        <v>12</v>
      </c>
      <c r="E615" t="s">
        <v>26</v>
      </c>
      <c r="F615" t="s">
        <v>12</v>
      </c>
      <c r="G615" s="3">
        <v>558</v>
      </c>
      <c r="H615" s="3">
        <v>30.52</v>
      </c>
      <c r="I615" s="3">
        <v>17030.16</v>
      </c>
      <c r="J615" s="3">
        <v>-9.33</v>
      </c>
    </row>
    <row r="616" spans="1:10" x14ac:dyDescent="0.25">
      <c r="A616" s="2">
        <v>45287</v>
      </c>
      <c r="B616">
        <v>2023</v>
      </c>
      <c r="C616" t="s">
        <v>36</v>
      </c>
      <c r="D616">
        <v>12</v>
      </c>
      <c r="E616" t="s">
        <v>26</v>
      </c>
      <c r="F616" t="s">
        <v>24</v>
      </c>
      <c r="G616" s="3">
        <v>369</v>
      </c>
      <c r="H616" s="3">
        <v>44.56</v>
      </c>
      <c r="I616" s="3">
        <v>16442.64</v>
      </c>
      <c r="J616" s="3">
        <v>12.81</v>
      </c>
    </row>
    <row r="617" spans="1:10" x14ac:dyDescent="0.25">
      <c r="A617" s="2">
        <v>45287</v>
      </c>
      <c r="B617">
        <v>2023</v>
      </c>
      <c r="C617" t="s">
        <v>36</v>
      </c>
      <c r="D617">
        <v>12</v>
      </c>
      <c r="E617" t="s">
        <v>26</v>
      </c>
      <c r="F617" t="s">
        <v>14</v>
      </c>
      <c r="G617" s="3">
        <v>603</v>
      </c>
      <c r="H617" s="3">
        <v>97.08</v>
      </c>
      <c r="I617" s="3">
        <v>58539.24</v>
      </c>
      <c r="J617" s="3">
        <v>13.7</v>
      </c>
    </row>
    <row r="618" spans="1:10" x14ac:dyDescent="0.25">
      <c r="A618" s="2">
        <v>45287</v>
      </c>
      <c r="B618">
        <v>2023</v>
      </c>
      <c r="C618" t="s">
        <v>36</v>
      </c>
      <c r="D618">
        <v>12</v>
      </c>
      <c r="E618" t="s">
        <v>26</v>
      </c>
      <c r="F618" t="s">
        <v>15</v>
      </c>
      <c r="G618" s="3">
        <v>508</v>
      </c>
      <c r="H618" s="3">
        <v>198.43</v>
      </c>
      <c r="I618" s="3">
        <v>100802.44</v>
      </c>
      <c r="J618" s="3">
        <v>-9.86</v>
      </c>
    </row>
    <row r="619" spans="1:10" x14ac:dyDescent="0.25">
      <c r="A619" s="2">
        <v>45287</v>
      </c>
      <c r="B619">
        <v>2023</v>
      </c>
      <c r="C619" t="s">
        <v>36</v>
      </c>
      <c r="D619">
        <v>12</v>
      </c>
      <c r="E619" t="s">
        <v>26</v>
      </c>
      <c r="F619" t="s">
        <v>16</v>
      </c>
      <c r="G619" s="3">
        <v>580</v>
      </c>
      <c r="H619" s="3">
        <v>128.58000000000001</v>
      </c>
      <c r="I619" s="3">
        <v>74576.399999999994</v>
      </c>
      <c r="J619" s="3">
        <v>-1.51</v>
      </c>
    </row>
    <row r="620" spans="1:10" x14ac:dyDescent="0.25">
      <c r="A620" s="2">
        <v>45287</v>
      </c>
      <c r="B620">
        <v>2023</v>
      </c>
      <c r="C620" t="s">
        <v>36</v>
      </c>
      <c r="D620">
        <v>12</v>
      </c>
      <c r="E620" t="s">
        <v>26</v>
      </c>
      <c r="F620" t="s">
        <v>17</v>
      </c>
      <c r="G620" s="3">
        <v>337</v>
      </c>
      <c r="H620" s="3">
        <v>69.349999999999994</v>
      </c>
      <c r="I620" s="3">
        <v>23370.95</v>
      </c>
      <c r="J620" s="3">
        <v>-11.82</v>
      </c>
    </row>
    <row r="621" spans="1:10" x14ac:dyDescent="0.25">
      <c r="A621" s="2">
        <v>45287</v>
      </c>
      <c r="B621">
        <v>2023</v>
      </c>
      <c r="C621" t="s">
        <v>36</v>
      </c>
      <c r="D621">
        <v>12</v>
      </c>
      <c r="E621" t="s">
        <v>26</v>
      </c>
      <c r="F621" t="s">
        <v>18</v>
      </c>
      <c r="G621" s="3">
        <v>793</v>
      </c>
      <c r="H621" s="3">
        <v>136.15</v>
      </c>
      <c r="I621" s="3">
        <v>107966.95</v>
      </c>
      <c r="J621" s="3">
        <v>8.83</v>
      </c>
    </row>
    <row r="622" spans="1:10" x14ac:dyDescent="0.25">
      <c r="A622" s="2">
        <v>45287</v>
      </c>
      <c r="B622">
        <v>2023</v>
      </c>
      <c r="C622" t="s">
        <v>36</v>
      </c>
      <c r="D622">
        <v>12</v>
      </c>
      <c r="E622" t="s">
        <v>26</v>
      </c>
      <c r="F622" t="s">
        <v>19</v>
      </c>
      <c r="G622" s="3">
        <v>122</v>
      </c>
      <c r="H622" s="3">
        <v>78.209999999999994</v>
      </c>
      <c r="I622" s="3">
        <v>9541.6200000000008</v>
      </c>
      <c r="J622" s="3">
        <v>-5.93</v>
      </c>
    </row>
    <row r="623" spans="1:10" x14ac:dyDescent="0.25">
      <c r="A623" s="2">
        <v>45287</v>
      </c>
      <c r="B623">
        <v>2023</v>
      </c>
      <c r="C623" t="s">
        <v>36</v>
      </c>
      <c r="D623">
        <v>12</v>
      </c>
      <c r="E623" t="s">
        <v>26</v>
      </c>
      <c r="F623" t="s">
        <v>20</v>
      </c>
      <c r="G623" s="3">
        <v>474</v>
      </c>
      <c r="H623" s="3">
        <v>131.09</v>
      </c>
      <c r="I623" s="3">
        <v>62136.66</v>
      </c>
      <c r="J623" s="3">
        <v>2.7</v>
      </c>
    </row>
    <row r="624" spans="1:10" x14ac:dyDescent="0.25">
      <c r="A624" s="2">
        <v>45287</v>
      </c>
      <c r="B624">
        <v>2023</v>
      </c>
      <c r="C624" t="s">
        <v>36</v>
      </c>
      <c r="D624">
        <v>12</v>
      </c>
      <c r="E624" t="s">
        <v>26</v>
      </c>
      <c r="F624" t="s">
        <v>21</v>
      </c>
      <c r="G624" s="3">
        <v>691</v>
      </c>
      <c r="H624" s="3">
        <v>140.53</v>
      </c>
      <c r="I624" s="3">
        <v>97106.23</v>
      </c>
      <c r="J624" s="3">
        <v>-12.2</v>
      </c>
    </row>
    <row r="625" spans="1:10" x14ac:dyDescent="0.25">
      <c r="A625" s="2">
        <v>45287</v>
      </c>
      <c r="B625">
        <v>2023</v>
      </c>
      <c r="C625" t="s">
        <v>36</v>
      </c>
      <c r="D625">
        <v>12</v>
      </c>
      <c r="E625" t="s">
        <v>11</v>
      </c>
      <c r="F625" t="s">
        <v>25</v>
      </c>
      <c r="G625" s="3">
        <v>572</v>
      </c>
      <c r="H625" s="3">
        <v>61.75</v>
      </c>
      <c r="I625" s="3">
        <v>35321</v>
      </c>
      <c r="J625" s="3">
        <v>0.64</v>
      </c>
    </row>
    <row r="626" spans="1:10" x14ac:dyDescent="0.25">
      <c r="A626" s="2">
        <v>45317</v>
      </c>
      <c r="B626">
        <v>2024</v>
      </c>
      <c r="C626" t="s">
        <v>10</v>
      </c>
      <c r="D626">
        <v>1</v>
      </c>
      <c r="E626" t="s">
        <v>13</v>
      </c>
      <c r="F626" t="s">
        <v>22</v>
      </c>
      <c r="G626" s="3">
        <v>485</v>
      </c>
      <c r="H626" s="3">
        <v>174.72</v>
      </c>
      <c r="I626" s="3">
        <v>84739.199999999997</v>
      </c>
      <c r="J626" s="3">
        <v>0.7</v>
      </c>
    </row>
    <row r="627" spans="1:10" x14ac:dyDescent="0.25">
      <c r="A627" s="2">
        <v>45317</v>
      </c>
      <c r="B627">
        <v>2024</v>
      </c>
      <c r="C627" t="s">
        <v>10</v>
      </c>
      <c r="D627">
        <v>1</v>
      </c>
      <c r="E627" t="s">
        <v>13</v>
      </c>
      <c r="F627" t="s">
        <v>21</v>
      </c>
      <c r="G627" s="3">
        <v>643</v>
      </c>
      <c r="H627" s="3">
        <v>105.68</v>
      </c>
      <c r="I627" s="3">
        <v>67952.240000000005</v>
      </c>
      <c r="J627" s="3">
        <v>0.04</v>
      </c>
    </row>
    <row r="628" spans="1:10" x14ac:dyDescent="0.25">
      <c r="A628" s="2">
        <v>45317</v>
      </c>
      <c r="B628">
        <v>2024</v>
      </c>
      <c r="C628" t="s">
        <v>10</v>
      </c>
      <c r="D628">
        <v>1</v>
      </c>
      <c r="E628" t="s">
        <v>13</v>
      </c>
      <c r="F628" t="s">
        <v>20</v>
      </c>
      <c r="G628" s="3">
        <v>559</v>
      </c>
      <c r="H628" s="3">
        <v>47.01</v>
      </c>
      <c r="I628" s="3">
        <v>26278.59</v>
      </c>
      <c r="J628" s="3">
        <v>-2.0099999999999998</v>
      </c>
    </row>
    <row r="629" spans="1:10" x14ac:dyDescent="0.25">
      <c r="A629" s="2">
        <v>45317</v>
      </c>
      <c r="B629">
        <v>2024</v>
      </c>
      <c r="C629" t="s">
        <v>10</v>
      </c>
      <c r="D629">
        <v>1</v>
      </c>
      <c r="E629" t="s">
        <v>13</v>
      </c>
      <c r="F629" t="s">
        <v>19</v>
      </c>
      <c r="G629" s="3">
        <v>357</v>
      </c>
      <c r="H629" s="3">
        <v>67.88</v>
      </c>
      <c r="I629" s="3">
        <v>24233.16</v>
      </c>
      <c r="J629" s="3">
        <v>-9.0299999999999994</v>
      </c>
    </row>
    <row r="630" spans="1:10" x14ac:dyDescent="0.25">
      <c r="A630" s="2">
        <v>45317</v>
      </c>
      <c r="B630">
        <v>2024</v>
      </c>
      <c r="C630" t="s">
        <v>10</v>
      </c>
      <c r="D630">
        <v>1</v>
      </c>
      <c r="E630" t="s">
        <v>13</v>
      </c>
      <c r="F630" t="s">
        <v>14</v>
      </c>
      <c r="G630" s="3">
        <v>710</v>
      </c>
      <c r="H630" s="3">
        <v>156.85</v>
      </c>
      <c r="I630" s="3">
        <v>111363.5</v>
      </c>
      <c r="J630" s="3">
        <v>-9.52</v>
      </c>
    </row>
    <row r="631" spans="1:10" x14ac:dyDescent="0.25">
      <c r="A631" s="2">
        <v>45317</v>
      </c>
      <c r="B631">
        <v>2024</v>
      </c>
      <c r="C631" t="s">
        <v>10</v>
      </c>
      <c r="D631">
        <v>1</v>
      </c>
      <c r="E631" t="s">
        <v>13</v>
      </c>
      <c r="F631" t="s">
        <v>17</v>
      </c>
      <c r="G631" s="3">
        <v>222</v>
      </c>
      <c r="H631" s="3">
        <v>27.67</v>
      </c>
      <c r="I631" s="3">
        <v>6142.74</v>
      </c>
      <c r="J631" s="3">
        <v>-0.14000000000000001</v>
      </c>
    </row>
    <row r="632" spans="1:10" x14ac:dyDescent="0.25">
      <c r="A632" s="2">
        <v>45317</v>
      </c>
      <c r="B632">
        <v>2024</v>
      </c>
      <c r="C632" t="s">
        <v>10</v>
      </c>
      <c r="D632">
        <v>1</v>
      </c>
      <c r="E632" t="s">
        <v>13</v>
      </c>
      <c r="F632" t="s">
        <v>16</v>
      </c>
      <c r="G632" s="3">
        <v>291</v>
      </c>
      <c r="H632" s="3">
        <v>133.27000000000001</v>
      </c>
      <c r="I632" s="3">
        <v>38781.57</v>
      </c>
      <c r="J632" s="3">
        <v>-7.05</v>
      </c>
    </row>
    <row r="633" spans="1:10" x14ac:dyDescent="0.25">
      <c r="A633" s="2">
        <v>45317</v>
      </c>
      <c r="B633">
        <v>2024</v>
      </c>
      <c r="C633" t="s">
        <v>10</v>
      </c>
      <c r="D633">
        <v>1</v>
      </c>
      <c r="E633" t="s">
        <v>13</v>
      </c>
      <c r="F633" t="s">
        <v>15</v>
      </c>
      <c r="G633" s="3">
        <v>472</v>
      </c>
      <c r="H633" s="3">
        <v>131.41</v>
      </c>
      <c r="I633" s="3">
        <v>62025.52</v>
      </c>
      <c r="J633" s="3">
        <v>-2.06</v>
      </c>
    </row>
    <row r="634" spans="1:10" x14ac:dyDescent="0.25">
      <c r="A634" s="2">
        <v>45317</v>
      </c>
      <c r="B634">
        <v>2024</v>
      </c>
      <c r="C634" t="s">
        <v>10</v>
      </c>
      <c r="D634">
        <v>1</v>
      </c>
      <c r="E634" t="s">
        <v>13</v>
      </c>
      <c r="F634" t="s">
        <v>25</v>
      </c>
      <c r="G634" s="3">
        <v>603</v>
      </c>
      <c r="H634" s="3">
        <v>180.58</v>
      </c>
      <c r="I634" s="3">
        <v>108889.74</v>
      </c>
      <c r="J634" s="3">
        <v>23.21</v>
      </c>
    </row>
    <row r="635" spans="1:10" x14ac:dyDescent="0.25">
      <c r="A635" s="2">
        <v>45317</v>
      </c>
      <c r="B635">
        <v>2024</v>
      </c>
      <c r="C635" t="s">
        <v>10</v>
      </c>
      <c r="D635">
        <v>1</v>
      </c>
      <c r="E635" t="s">
        <v>13</v>
      </c>
      <c r="F635" t="s">
        <v>18</v>
      </c>
      <c r="G635" s="3">
        <v>546</v>
      </c>
      <c r="H635" s="3">
        <v>118.63</v>
      </c>
      <c r="I635" s="3">
        <v>64771.98</v>
      </c>
      <c r="J635" s="3">
        <v>3.18</v>
      </c>
    </row>
    <row r="636" spans="1:10" x14ac:dyDescent="0.25">
      <c r="A636" s="2">
        <v>45317</v>
      </c>
      <c r="B636">
        <v>2024</v>
      </c>
      <c r="C636" t="s">
        <v>10</v>
      </c>
      <c r="D636">
        <v>1</v>
      </c>
      <c r="E636" t="s">
        <v>23</v>
      </c>
      <c r="F636" t="s">
        <v>12</v>
      </c>
      <c r="G636" s="3">
        <v>66</v>
      </c>
      <c r="H636" s="3">
        <v>138.56</v>
      </c>
      <c r="I636" s="3">
        <v>9144.9599999999991</v>
      </c>
      <c r="J636" s="3">
        <v>22.71</v>
      </c>
    </row>
    <row r="637" spans="1:10" x14ac:dyDescent="0.25">
      <c r="A637" s="2">
        <v>45317</v>
      </c>
      <c r="B637">
        <v>2024</v>
      </c>
      <c r="C637" t="s">
        <v>10</v>
      </c>
      <c r="D637">
        <v>1</v>
      </c>
      <c r="E637" t="s">
        <v>23</v>
      </c>
      <c r="F637" t="s">
        <v>17</v>
      </c>
      <c r="G637" s="3">
        <v>222</v>
      </c>
      <c r="H637" s="3">
        <v>47.03</v>
      </c>
      <c r="I637" s="3">
        <v>10440.66</v>
      </c>
      <c r="J637" s="3">
        <v>14.5</v>
      </c>
    </row>
    <row r="638" spans="1:10" x14ac:dyDescent="0.25">
      <c r="A638" s="2">
        <v>45317</v>
      </c>
      <c r="B638">
        <v>2024</v>
      </c>
      <c r="C638" t="s">
        <v>10</v>
      </c>
      <c r="D638">
        <v>1</v>
      </c>
      <c r="E638" t="s">
        <v>23</v>
      </c>
      <c r="F638" t="s">
        <v>14</v>
      </c>
      <c r="G638" s="3">
        <v>59</v>
      </c>
      <c r="H638" s="3">
        <v>187.46</v>
      </c>
      <c r="I638" s="3">
        <v>11060.14</v>
      </c>
      <c r="J638" s="3">
        <v>-4.88</v>
      </c>
    </row>
    <row r="639" spans="1:10" x14ac:dyDescent="0.25">
      <c r="A639" s="2">
        <v>45317</v>
      </c>
      <c r="B639">
        <v>2024</v>
      </c>
      <c r="C639" t="s">
        <v>10</v>
      </c>
      <c r="D639">
        <v>1</v>
      </c>
      <c r="E639" t="s">
        <v>23</v>
      </c>
      <c r="F639" t="s">
        <v>15</v>
      </c>
      <c r="G639" s="3">
        <v>281</v>
      </c>
      <c r="H639" s="3">
        <v>103.07</v>
      </c>
      <c r="I639" s="3">
        <v>28962.67</v>
      </c>
      <c r="J639" s="3">
        <v>10.49</v>
      </c>
    </row>
    <row r="640" spans="1:10" x14ac:dyDescent="0.25">
      <c r="A640" s="2">
        <v>45317</v>
      </c>
      <c r="B640">
        <v>2024</v>
      </c>
      <c r="C640" t="s">
        <v>10</v>
      </c>
      <c r="D640">
        <v>1</v>
      </c>
      <c r="E640" t="s">
        <v>23</v>
      </c>
      <c r="F640" t="s">
        <v>16</v>
      </c>
      <c r="G640" s="3">
        <v>775</v>
      </c>
      <c r="H640" s="3">
        <v>134.6</v>
      </c>
      <c r="I640" s="3">
        <v>104315</v>
      </c>
      <c r="J640" s="3">
        <v>9.56</v>
      </c>
    </row>
    <row r="641" spans="1:10" x14ac:dyDescent="0.25">
      <c r="A641" s="2">
        <v>45317</v>
      </c>
      <c r="B641">
        <v>2024</v>
      </c>
      <c r="C641" t="s">
        <v>10</v>
      </c>
      <c r="D641">
        <v>1</v>
      </c>
      <c r="E641" t="s">
        <v>23</v>
      </c>
      <c r="F641" t="s">
        <v>18</v>
      </c>
      <c r="G641" s="3">
        <v>498</v>
      </c>
      <c r="H641" s="3">
        <v>99.79</v>
      </c>
      <c r="I641" s="3">
        <v>49695.42</v>
      </c>
      <c r="J641" s="3">
        <v>-13.09</v>
      </c>
    </row>
    <row r="642" spans="1:10" x14ac:dyDescent="0.25">
      <c r="A642" s="2">
        <v>45317</v>
      </c>
      <c r="B642">
        <v>2024</v>
      </c>
      <c r="C642" t="s">
        <v>10</v>
      </c>
      <c r="D642">
        <v>1</v>
      </c>
      <c r="E642" t="s">
        <v>23</v>
      </c>
      <c r="F642" t="s">
        <v>19</v>
      </c>
      <c r="G642" s="3">
        <v>249</v>
      </c>
      <c r="H642" s="3">
        <v>35.26</v>
      </c>
      <c r="I642" s="3">
        <v>8779.74</v>
      </c>
      <c r="J642" s="3">
        <v>13.65</v>
      </c>
    </row>
    <row r="643" spans="1:10" x14ac:dyDescent="0.25">
      <c r="A643" s="2">
        <v>45317</v>
      </c>
      <c r="B643">
        <v>2024</v>
      </c>
      <c r="C643" t="s">
        <v>10</v>
      </c>
      <c r="D643">
        <v>1</v>
      </c>
      <c r="E643" t="s">
        <v>23</v>
      </c>
      <c r="F643" t="s">
        <v>20</v>
      </c>
      <c r="G643" s="3">
        <v>670</v>
      </c>
      <c r="H643" s="3">
        <v>164.38</v>
      </c>
      <c r="I643" s="3">
        <v>110134.6</v>
      </c>
      <c r="J643" s="3">
        <v>-10.79</v>
      </c>
    </row>
    <row r="644" spans="1:10" x14ac:dyDescent="0.25">
      <c r="A644" s="2">
        <v>45317</v>
      </c>
      <c r="B644">
        <v>2024</v>
      </c>
      <c r="C644" t="s">
        <v>10</v>
      </c>
      <c r="D644">
        <v>1</v>
      </c>
      <c r="E644" t="s">
        <v>23</v>
      </c>
      <c r="F644" t="s">
        <v>21</v>
      </c>
      <c r="G644" s="3">
        <v>66</v>
      </c>
      <c r="H644" s="3">
        <v>192.17</v>
      </c>
      <c r="I644" s="3">
        <v>12683.22</v>
      </c>
      <c r="J644" s="3">
        <v>14.5</v>
      </c>
    </row>
    <row r="645" spans="1:10" x14ac:dyDescent="0.25">
      <c r="A645" s="2">
        <v>45317</v>
      </c>
      <c r="B645">
        <v>2024</v>
      </c>
      <c r="C645" t="s">
        <v>10</v>
      </c>
      <c r="D645">
        <v>1</v>
      </c>
      <c r="E645" t="s">
        <v>23</v>
      </c>
      <c r="F645" t="s">
        <v>22</v>
      </c>
      <c r="G645" s="3">
        <v>415</v>
      </c>
      <c r="H645" s="3">
        <v>198.49</v>
      </c>
      <c r="I645" s="3">
        <v>82373.350000000006</v>
      </c>
      <c r="J645" s="3">
        <v>23.83</v>
      </c>
    </row>
    <row r="646" spans="1:10" x14ac:dyDescent="0.25">
      <c r="A646" s="2">
        <v>45317</v>
      </c>
      <c r="B646">
        <v>2024</v>
      </c>
      <c r="C646" t="s">
        <v>10</v>
      </c>
      <c r="D646">
        <v>1</v>
      </c>
      <c r="E646" t="s">
        <v>23</v>
      </c>
      <c r="F646" t="s">
        <v>25</v>
      </c>
      <c r="G646" s="3">
        <v>260</v>
      </c>
      <c r="H646" s="3">
        <v>139.05000000000001</v>
      </c>
      <c r="I646" s="3">
        <v>36153</v>
      </c>
      <c r="J646" s="3">
        <v>-7.59</v>
      </c>
    </row>
    <row r="647" spans="1:10" x14ac:dyDescent="0.25">
      <c r="A647" s="2">
        <v>45317</v>
      </c>
      <c r="B647">
        <v>2024</v>
      </c>
      <c r="C647" t="s">
        <v>10</v>
      </c>
      <c r="D647">
        <v>1</v>
      </c>
      <c r="E647" t="s">
        <v>13</v>
      </c>
      <c r="F647" t="s">
        <v>24</v>
      </c>
      <c r="G647" s="3">
        <v>780</v>
      </c>
      <c r="H647" s="3">
        <v>95.34</v>
      </c>
      <c r="I647" s="3">
        <v>74365.2</v>
      </c>
      <c r="J647" s="3">
        <v>16.61</v>
      </c>
    </row>
    <row r="648" spans="1:10" x14ac:dyDescent="0.25">
      <c r="A648" s="2">
        <v>45317</v>
      </c>
      <c r="B648">
        <v>2024</v>
      </c>
      <c r="C648" t="s">
        <v>10</v>
      </c>
      <c r="D648">
        <v>1</v>
      </c>
      <c r="E648" t="s">
        <v>23</v>
      </c>
      <c r="F648" t="s">
        <v>24</v>
      </c>
      <c r="G648" s="3">
        <v>179</v>
      </c>
      <c r="H648" s="3">
        <v>98.77</v>
      </c>
      <c r="I648" s="3">
        <v>17679.830000000002</v>
      </c>
      <c r="J648" s="3">
        <v>-4.8099999999999996</v>
      </c>
    </row>
    <row r="649" spans="1:10" x14ac:dyDescent="0.25">
      <c r="A649" s="2">
        <v>45317</v>
      </c>
      <c r="B649">
        <v>2024</v>
      </c>
      <c r="C649" t="s">
        <v>10</v>
      </c>
      <c r="D649">
        <v>1</v>
      </c>
      <c r="E649" t="s">
        <v>13</v>
      </c>
      <c r="F649" t="s">
        <v>12</v>
      </c>
      <c r="G649" s="3">
        <v>694</v>
      </c>
      <c r="H649" s="3">
        <v>21.99</v>
      </c>
      <c r="I649" s="3">
        <v>15261.06</v>
      </c>
      <c r="J649" s="3">
        <v>1.65</v>
      </c>
    </row>
    <row r="650" spans="1:10" x14ac:dyDescent="0.25">
      <c r="A650" s="2">
        <v>45317</v>
      </c>
      <c r="B650">
        <v>2024</v>
      </c>
      <c r="C650" t="s">
        <v>10</v>
      </c>
      <c r="D650">
        <v>1</v>
      </c>
      <c r="E650" t="s">
        <v>26</v>
      </c>
      <c r="F650" t="s">
        <v>25</v>
      </c>
      <c r="G650" s="3">
        <v>575</v>
      </c>
      <c r="H650" s="3">
        <v>51.84</v>
      </c>
      <c r="I650" s="3">
        <v>29808</v>
      </c>
      <c r="J650" s="3">
        <v>0.48</v>
      </c>
    </row>
    <row r="651" spans="1:10" x14ac:dyDescent="0.25">
      <c r="A651" s="2">
        <v>45317</v>
      </c>
      <c r="B651">
        <v>2024</v>
      </c>
      <c r="C651" t="s">
        <v>10</v>
      </c>
      <c r="D651">
        <v>1</v>
      </c>
      <c r="E651" t="s">
        <v>26</v>
      </c>
      <c r="F651" t="s">
        <v>22</v>
      </c>
      <c r="G651" s="3">
        <v>532</v>
      </c>
      <c r="H651" s="3">
        <v>86.2</v>
      </c>
      <c r="I651" s="3">
        <v>45858.400000000001</v>
      </c>
      <c r="J651" s="3">
        <v>1.57</v>
      </c>
    </row>
    <row r="652" spans="1:10" x14ac:dyDescent="0.25">
      <c r="A652" s="2">
        <v>45317</v>
      </c>
      <c r="B652">
        <v>2024</v>
      </c>
      <c r="C652" t="s">
        <v>10</v>
      </c>
      <c r="D652">
        <v>1</v>
      </c>
      <c r="E652" t="s">
        <v>11</v>
      </c>
      <c r="F652" t="s">
        <v>24</v>
      </c>
      <c r="G652" s="3">
        <v>515</v>
      </c>
      <c r="H652" s="3">
        <v>192.32</v>
      </c>
      <c r="I652" s="3">
        <v>99044.800000000003</v>
      </c>
      <c r="J652" s="3">
        <v>7.92</v>
      </c>
    </row>
    <row r="653" spans="1:10" x14ac:dyDescent="0.25">
      <c r="A653" s="2">
        <v>45317</v>
      </c>
      <c r="B653">
        <v>2024</v>
      </c>
      <c r="C653" t="s">
        <v>10</v>
      </c>
      <c r="D653">
        <v>1</v>
      </c>
      <c r="E653" t="s">
        <v>11</v>
      </c>
      <c r="F653" t="s">
        <v>14</v>
      </c>
      <c r="G653" s="3">
        <v>315</v>
      </c>
      <c r="H653" s="3">
        <v>168.05</v>
      </c>
      <c r="I653" s="3">
        <v>52935.75</v>
      </c>
      <c r="J653" s="3">
        <v>-9.6999999999999993</v>
      </c>
    </row>
    <row r="654" spans="1:10" x14ac:dyDescent="0.25">
      <c r="A654" s="2">
        <v>45317</v>
      </c>
      <c r="B654">
        <v>2024</v>
      </c>
      <c r="C654" t="s">
        <v>10</v>
      </c>
      <c r="D654">
        <v>1</v>
      </c>
      <c r="E654" t="s">
        <v>11</v>
      </c>
      <c r="F654" t="s">
        <v>15</v>
      </c>
      <c r="G654" s="3">
        <v>338</v>
      </c>
      <c r="H654" s="3">
        <v>186.1</v>
      </c>
      <c r="I654" s="3">
        <v>62901.8</v>
      </c>
      <c r="J654" s="3">
        <v>4.4800000000000004</v>
      </c>
    </row>
    <row r="655" spans="1:10" x14ac:dyDescent="0.25">
      <c r="A655" s="2">
        <v>45317</v>
      </c>
      <c r="B655">
        <v>2024</v>
      </c>
      <c r="C655" t="s">
        <v>10</v>
      </c>
      <c r="D655">
        <v>1</v>
      </c>
      <c r="E655" t="s">
        <v>11</v>
      </c>
      <c r="F655" t="s">
        <v>16</v>
      </c>
      <c r="G655" s="3">
        <v>159</v>
      </c>
      <c r="H655" s="3">
        <v>181.69</v>
      </c>
      <c r="I655" s="3">
        <v>28888.71</v>
      </c>
      <c r="J655" s="3">
        <v>18.170000000000002</v>
      </c>
    </row>
    <row r="656" spans="1:10" x14ac:dyDescent="0.25">
      <c r="A656" s="2">
        <v>45317</v>
      </c>
      <c r="B656">
        <v>2024</v>
      </c>
      <c r="C656" t="s">
        <v>10</v>
      </c>
      <c r="D656">
        <v>1</v>
      </c>
      <c r="E656" t="s">
        <v>11</v>
      </c>
      <c r="F656" t="s">
        <v>17</v>
      </c>
      <c r="G656" s="3">
        <v>485</v>
      </c>
      <c r="H656" s="3">
        <v>110.46</v>
      </c>
      <c r="I656" s="3">
        <v>53573.1</v>
      </c>
      <c r="J656" s="3">
        <v>0.95</v>
      </c>
    </row>
    <row r="657" spans="1:10" x14ac:dyDescent="0.25">
      <c r="A657" s="2">
        <v>45317</v>
      </c>
      <c r="B657">
        <v>2024</v>
      </c>
      <c r="C657" t="s">
        <v>10</v>
      </c>
      <c r="D657">
        <v>1</v>
      </c>
      <c r="E657" t="s">
        <v>11</v>
      </c>
      <c r="F657" t="s">
        <v>18</v>
      </c>
      <c r="G657" s="3">
        <v>74</v>
      </c>
      <c r="H657" s="3">
        <v>139.94</v>
      </c>
      <c r="I657" s="3">
        <v>10355.56</v>
      </c>
      <c r="J657" s="3">
        <v>-10.130000000000001</v>
      </c>
    </row>
    <row r="658" spans="1:10" x14ac:dyDescent="0.25">
      <c r="A658" s="2">
        <v>45317</v>
      </c>
      <c r="B658">
        <v>2024</v>
      </c>
      <c r="C658" t="s">
        <v>10</v>
      </c>
      <c r="D658">
        <v>1</v>
      </c>
      <c r="E658" t="s">
        <v>11</v>
      </c>
      <c r="F658" t="s">
        <v>19</v>
      </c>
      <c r="G658" s="3">
        <v>586</v>
      </c>
      <c r="H658" s="3">
        <v>61.86</v>
      </c>
      <c r="I658" s="3">
        <v>36249.96</v>
      </c>
      <c r="J658" s="3">
        <v>-11.8</v>
      </c>
    </row>
    <row r="659" spans="1:10" x14ac:dyDescent="0.25">
      <c r="A659" s="2">
        <v>45317</v>
      </c>
      <c r="B659">
        <v>2024</v>
      </c>
      <c r="C659" t="s">
        <v>10</v>
      </c>
      <c r="D659">
        <v>1</v>
      </c>
      <c r="E659" t="s">
        <v>11</v>
      </c>
      <c r="F659" t="s">
        <v>20</v>
      </c>
      <c r="G659" s="3">
        <v>61</v>
      </c>
      <c r="H659" s="3">
        <v>193.85</v>
      </c>
      <c r="I659" s="3">
        <v>11824.85</v>
      </c>
      <c r="J659" s="3">
        <v>2.2999999999999998</v>
      </c>
    </row>
    <row r="660" spans="1:10" x14ac:dyDescent="0.25">
      <c r="A660" s="2">
        <v>45317</v>
      </c>
      <c r="B660">
        <v>2024</v>
      </c>
      <c r="C660" t="s">
        <v>10</v>
      </c>
      <c r="D660">
        <v>1</v>
      </c>
      <c r="E660" t="s">
        <v>11</v>
      </c>
      <c r="F660" t="s">
        <v>21</v>
      </c>
      <c r="G660" s="3">
        <v>702</v>
      </c>
      <c r="H660" s="3">
        <v>188.56</v>
      </c>
      <c r="I660" s="3">
        <v>132369.12</v>
      </c>
      <c r="J660" s="3">
        <v>20.04</v>
      </c>
    </row>
    <row r="661" spans="1:10" x14ac:dyDescent="0.25">
      <c r="A661" s="2">
        <v>45317</v>
      </c>
      <c r="B661">
        <v>2024</v>
      </c>
      <c r="C661" t="s">
        <v>10</v>
      </c>
      <c r="D661">
        <v>1</v>
      </c>
      <c r="E661" t="s">
        <v>11</v>
      </c>
      <c r="F661" t="s">
        <v>22</v>
      </c>
      <c r="G661" s="3">
        <v>496</v>
      </c>
      <c r="H661" s="3">
        <v>135.35</v>
      </c>
      <c r="I661" s="3">
        <v>67133.600000000006</v>
      </c>
      <c r="J661" s="3">
        <v>-6.36</v>
      </c>
    </row>
    <row r="662" spans="1:10" x14ac:dyDescent="0.25">
      <c r="A662" s="2">
        <v>45317</v>
      </c>
      <c r="B662">
        <v>2024</v>
      </c>
      <c r="C662" t="s">
        <v>10</v>
      </c>
      <c r="D662">
        <v>1</v>
      </c>
      <c r="E662" t="s">
        <v>11</v>
      </c>
      <c r="F662" t="s">
        <v>12</v>
      </c>
      <c r="G662" s="3">
        <v>454</v>
      </c>
      <c r="H662" s="3">
        <v>24.12</v>
      </c>
      <c r="I662" s="3">
        <v>10950.48</v>
      </c>
      <c r="J662" s="3">
        <v>-8.85</v>
      </c>
    </row>
    <row r="663" spans="1:10" x14ac:dyDescent="0.25">
      <c r="A663" s="2">
        <v>45317</v>
      </c>
      <c r="B663">
        <v>2024</v>
      </c>
      <c r="C663" t="s">
        <v>10</v>
      </c>
      <c r="D663">
        <v>1</v>
      </c>
      <c r="E663" t="s">
        <v>26</v>
      </c>
      <c r="F663" t="s">
        <v>12</v>
      </c>
      <c r="G663" s="3">
        <v>336</v>
      </c>
      <c r="H663" s="3">
        <v>31.04</v>
      </c>
      <c r="I663" s="3">
        <v>10429.44</v>
      </c>
      <c r="J663" s="3">
        <v>16.23</v>
      </c>
    </row>
    <row r="664" spans="1:10" x14ac:dyDescent="0.25">
      <c r="A664" s="2">
        <v>45317</v>
      </c>
      <c r="B664">
        <v>2024</v>
      </c>
      <c r="C664" t="s">
        <v>10</v>
      </c>
      <c r="D664">
        <v>1</v>
      </c>
      <c r="E664" t="s">
        <v>26</v>
      </c>
      <c r="F664" t="s">
        <v>24</v>
      </c>
      <c r="G664" s="3">
        <v>394</v>
      </c>
      <c r="H664" s="3">
        <v>30.47</v>
      </c>
      <c r="I664" s="3">
        <v>12005.18</v>
      </c>
      <c r="J664" s="3">
        <v>24.79</v>
      </c>
    </row>
    <row r="665" spans="1:10" x14ac:dyDescent="0.25">
      <c r="A665" s="2">
        <v>45317</v>
      </c>
      <c r="B665">
        <v>2024</v>
      </c>
      <c r="C665" t="s">
        <v>10</v>
      </c>
      <c r="D665">
        <v>1</v>
      </c>
      <c r="E665" t="s">
        <v>26</v>
      </c>
      <c r="F665" t="s">
        <v>14</v>
      </c>
      <c r="G665" s="3">
        <v>302</v>
      </c>
      <c r="H665" s="3">
        <v>131.51</v>
      </c>
      <c r="I665" s="3">
        <v>39716.019999999997</v>
      </c>
      <c r="J665" s="3">
        <v>-3.11</v>
      </c>
    </row>
    <row r="666" spans="1:10" x14ac:dyDescent="0.25">
      <c r="A666" s="2">
        <v>45317</v>
      </c>
      <c r="B666">
        <v>2024</v>
      </c>
      <c r="C666" t="s">
        <v>10</v>
      </c>
      <c r="D666">
        <v>1</v>
      </c>
      <c r="E666" t="s">
        <v>26</v>
      </c>
      <c r="F666" t="s">
        <v>15</v>
      </c>
      <c r="G666" s="3">
        <v>132</v>
      </c>
      <c r="H666" s="3">
        <v>50.72</v>
      </c>
      <c r="I666" s="3">
        <v>6695.04</v>
      </c>
      <c r="J666" s="3">
        <v>-12.01</v>
      </c>
    </row>
    <row r="667" spans="1:10" x14ac:dyDescent="0.25">
      <c r="A667" s="2">
        <v>45317</v>
      </c>
      <c r="B667">
        <v>2024</v>
      </c>
      <c r="C667" t="s">
        <v>10</v>
      </c>
      <c r="D667">
        <v>1</v>
      </c>
      <c r="E667" t="s">
        <v>26</v>
      </c>
      <c r="F667" t="s">
        <v>16</v>
      </c>
      <c r="G667" s="3">
        <v>205</v>
      </c>
      <c r="H667" s="3">
        <v>74.59</v>
      </c>
      <c r="I667" s="3">
        <v>15290.95</v>
      </c>
      <c r="J667" s="3">
        <v>-10.96</v>
      </c>
    </row>
    <row r="668" spans="1:10" x14ac:dyDescent="0.25">
      <c r="A668" s="2">
        <v>45317</v>
      </c>
      <c r="B668">
        <v>2024</v>
      </c>
      <c r="C668" t="s">
        <v>10</v>
      </c>
      <c r="D668">
        <v>1</v>
      </c>
      <c r="E668" t="s">
        <v>26</v>
      </c>
      <c r="F668" t="s">
        <v>17</v>
      </c>
      <c r="G668" s="3">
        <v>129</v>
      </c>
      <c r="H668" s="3">
        <v>144.49</v>
      </c>
      <c r="I668" s="3">
        <v>18639.21</v>
      </c>
      <c r="J668" s="3">
        <v>9.7200000000000006</v>
      </c>
    </row>
    <row r="669" spans="1:10" x14ac:dyDescent="0.25">
      <c r="A669" s="2">
        <v>45317</v>
      </c>
      <c r="B669">
        <v>2024</v>
      </c>
      <c r="C669" t="s">
        <v>10</v>
      </c>
      <c r="D669">
        <v>1</v>
      </c>
      <c r="E669" t="s">
        <v>26</v>
      </c>
      <c r="F669" t="s">
        <v>18</v>
      </c>
      <c r="G669" s="3">
        <v>664</v>
      </c>
      <c r="H669" s="3">
        <v>61.2</v>
      </c>
      <c r="I669" s="3">
        <v>40636.800000000003</v>
      </c>
      <c r="J669" s="3">
        <v>-5.69</v>
      </c>
    </row>
    <row r="670" spans="1:10" x14ac:dyDescent="0.25">
      <c r="A670" s="2">
        <v>45317</v>
      </c>
      <c r="B670">
        <v>2024</v>
      </c>
      <c r="C670" t="s">
        <v>10</v>
      </c>
      <c r="D670">
        <v>1</v>
      </c>
      <c r="E670" t="s">
        <v>26</v>
      </c>
      <c r="F670" t="s">
        <v>19</v>
      </c>
      <c r="G670" s="3">
        <v>429</v>
      </c>
      <c r="H670" s="3">
        <v>75.13</v>
      </c>
      <c r="I670" s="3">
        <v>32230.77</v>
      </c>
      <c r="J670" s="3">
        <v>9.9600000000000009</v>
      </c>
    </row>
    <row r="671" spans="1:10" x14ac:dyDescent="0.25">
      <c r="A671" s="2">
        <v>45317</v>
      </c>
      <c r="B671">
        <v>2024</v>
      </c>
      <c r="C671" t="s">
        <v>10</v>
      </c>
      <c r="D671">
        <v>1</v>
      </c>
      <c r="E671" t="s">
        <v>26</v>
      </c>
      <c r="F671" t="s">
        <v>20</v>
      </c>
      <c r="G671" s="3">
        <v>173</v>
      </c>
      <c r="H671" s="3">
        <v>172.64</v>
      </c>
      <c r="I671" s="3">
        <v>29866.720000000001</v>
      </c>
      <c r="J671" s="3">
        <v>13.97</v>
      </c>
    </row>
    <row r="672" spans="1:10" x14ac:dyDescent="0.25">
      <c r="A672" s="2">
        <v>45317</v>
      </c>
      <c r="B672">
        <v>2024</v>
      </c>
      <c r="C672" t="s">
        <v>10</v>
      </c>
      <c r="D672">
        <v>1</v>
      </c>
      <c r="E672" t="s">
        <v>26</v>
      </c>
      <c r="F672" t="s">
        <v>21</v>
      </c>
      <c r="G672" s="3">
        <v>534</v>
      </c>
      <c r="H672" s="3">
        <v>179.59</v>
      </c>
      <c r="I672" s="3">
        <v>95901.06</v>
      </c>
      <c r="J672" s="3">
        <v>2.99</v>
      </c>
    </row>
    <row r="673" spans="1:10" x14ac:dyDescent="0.25">
      <c r="A673" s="2">
        <v>45317</v>
      </c>
      <c r="B673">
        <v>2024</v>
      </c>
      <c r="C673" t="s">
        <v>10</v>
      </c>
      <c r="D673">
        <v>1</v>
      </c>
      <c r="E673" t="s">
        <v>11</v>
      </c>
      <c r="F673" t="s">
        <v>25</v>
      </c>
      <c r="G673" s="3">
        <v>303</v>
      </c>
      <c r="H673" s="3">
        <v>128.46</v>
      </c>
      <c r="I673" s="3">
        <v>38923.379999999997</v>
      </c>
      <c r="J673" s="3">
        <v>-0.41</v>
      </c>
    </row>
    <row r="674" spans="1:10" x14ac:dyDescent="0.25">
      <c r="A674" s="2">
        <v>45347</v>
      </c>
      <c r="B674">
        <v>2024</v>
      </c>
      <c r="C674" t="s">
        <v>37</v>
      </c>
      <c r="D674">
        <v>2</v>
      </c>
      <c r="E674" t="s">
        <v>13</v>
      </c>
      <c r="F674" t="s">
        <v>21</v>
      </c>
      <c r="G674" s="3">
        <v>351</v>
      </c>
      <c r="H674" s="3">
        <v>130.88</v>
      </c>
      <c r="I674" s="3">
        <v>45938.879999999997</v>
      </c>
      <c r="J674" s="3">
        <v>-7.48</v>
      </c>
    </row>
    <row r="675" spans="1:10" x14ac:dyDescent="0.25">
      <c r="A675" s="2">
        <v>45347</v>
      </c>
      <c r="B675">
        <v>2024</v>
      </c>
      <c r="C675" t="s">
        <v>37</v>
      </c>
      <c r="D675">
        <v>2</v>
      </c>
      <c r="E675" t="s">
        <v>13</v>
      </c>
      <c r="F675" t="s">
        <v>20</v>
      </c>
      <c r="G675" s="3">
        <v>540</v>
      </c>
      <c r="H675" s="3">
        <v>75.97</v>
      </c>
      <c r="I675" s="3">
        <v>41023.800000000003</v>
      </c>
      <c r="J675" s="3">
        <v>14.69</v>
      </c>
    </row>
    <row r="676" spans="1:10" x14ac:dyDescent="0.25">
      <c r="A676" s="2">
        <v>45347</v>
      </c>
      <c r="B676">
        <v>2024</v>
      </c>
      <c r="C676" t="s">
        <v>37</v>
      </c>
      <c r="D676">
        <v>2</v>
      </c>
      <c r="E676" t="s">
        <v>13</v>
      </c>
      <c r="F676" t="s">
        <v>19</v>
      </c>
      <c r="G676" s="3">
        <v>532</v>
      </c>
      <c r="H676" s="3">
        <v>92.27</v>
      </c>
      <c r="I676" s="3">
        <v>49087.64</v>
      </c>
      <c r="J676" s="3">
        <v>17</v>
      </c>
    </row>
    <row r="677" spans="1:10" x14ac:dyDescent="0.25">
      <c r="A677" s="2">
        <v>45347</v>
      </c>
      <c r="B677">
        <v>2024</v>
      </c>
      <c r="C677" t="s">
        <v>37</v>
      </c>
      <c r="D677">
        <v>2</v>
      </c>
      <c r="E677" t="s">
        <v>13</v>
      </c>
      <c r="F677" t="s">
        <v>14</v>
      </c>
      <c r="G677" s="3">
        <v>564</v>
      </c>
      <c r="H677" s="3">
        <v>73.56</v>
      </c>
      <c r="I677" s="3">
        <v>41487.839999999997</v>
      </c>
      <c r="J677" s="3">
        <v>7.6</v>
      </c>
    </row>
    <row r="678" spans="1:10" x14ac:dyDescent="0.25">
      <c r="A678" s="2">
        <v>45347</v>
      </c>
      <c r="B678">
        <v>2024</v>
      </c>
      <c r="C678" t="s">
        <v>37</v>
      </c>
      <c r="D678">
        <v>2</v>
      </c>
      <c r="E678" t="s">
        <v>13</v>
      </c>
      <c r="F678" t="s">
        <v>17</v>
      </c>
      <c r="G678" s="3">
        <v>411</v>
      </c>
      <c r="H678" s="3">
        <v>120.45</v>
      </c>
      <c r="I678" s="3">
        <v>49504.95</v>
      </c>
      <c r="J678" s="3">
        <v>17.47</v>
      </c>
    </row>
    <row r="679" spans="1:10" x14ac:dyDescent="0.25">
      <c r="A679" s="2">
        <v>45347</v>
      </c>
      <c r="B679">
        <v>2024</v>
      </c>
      <c r="C679" t="s">
        <v>37</v>
      </c>
      <c r="D679">
        <v>2</v>
      </c>
      <c r="E679" t="s">
        <v>13</v>
      </c>
      <c r="F679" t="s">
        <v>16</v>
      </c>
      <c r="G679" s="3">
        <v>330</v>
      </c>
      <c r="H679" s="3">
        <v>157</v>
      </c>
      <c r="I679" s="3">
        <v>51810</v>
      </c>
      <c r="J679" s="3">
        <v>-8.6</v>
      </c>
    </row>
    <row r="680" spans="1:10" x14ac:dyDescent="0.25">
      <c r="A680" s="2">
        <v>45347</v>
      </c>
      <c r="B680">
        <v>2024</v>
      </c>
      <c r="C680" t="s">
        <v>37</v>
      </c>
      <c r="D680">
        <v>2</v>
      </c>
      <c r="E680" t="s">
        <v>13</v>
      </c>
      <c r="F680" t="s">
        <v>15</v>
      </c>
      <c r="G680" s="3">
        <v>462</v>
      </c>
      <c r="H680" s="3">
        <v>36.880000000000003</v>
      </c>
      <c r="I680" s="3">
        <v>17038.560000000001</v>
      </c>
      <c r="J680" s="3">
        <v>8.09</v>
      </c>
    </row>
    <row r="681" spans="1:10" x14ac:dyDescent="0.25">
      <c r="A681" s="2">
        <v>45347</v>
      </c>
      <c r="B681">
        <v>2024</v>
      </c>
      <c r="C681" t="s">
        <v>37</v>
      </c>
      <c r="D681">
        <v>2</v>
      </c>
      <c r="E681" t="s">
        <v>13</v>
      </c>
      <c r="F681" t="s">
        <v>22</v>
      </c>
      <c r="G681" s="3">
        <v>161</v>
      </c>
      <c r="H681" s="3">
        <v>161.08000000000001</v>
      </c>
      <c r="I681" s="3">
        <v>25933.88</v>
      </c>
      <c r="J681" s="3">
        <v>7.17</v>
      </c>
    </row>
    <row r="682" spans="1:10" x14ac:dyDescent="0.25">
      <c r="A682" s="2">
        <v>45347</v>
      </c>
      <c r="B682">
        <v>2024</v>
      </c>
      <c r="C682" t="s">
        <v>37</v>
      </c>
      <c r="D682">
        <v>2</v>
      </c>
      <c r="E682" t="s">
        <v>13</v>
      </c>
      <c r="F682" t="s">
        <v>18</v>
      </c>
      <c r="G682" s="3">
        <v>310</v>
      </c>
      <c r="H682" s="3">
        <v>178.66</v>
      </c>
      <c r="I682" s="3">
        <v>55384.6</v>
      </c>
      <c r="J682" s="3">
        <v>-3.88</v>
      </c>
    </row>
    <row r="683" spans="1:10" x14ac:dyDescent="0.25">
      <c r="A683" s="2">
        <v>45347</v>
      </c>
      <c r="B683">
        <v>2024</v>
      </c>
      <c r="C683" t="s">
        <v>37</v>
      </c>
      <c r="D683">
        <v>2</v>
      </c>
      <c r="E683" t="s">
        <v>13</v>
      </c>
      <c r="F683" t="s">
        <v>25</v>
      </c>
      <c r="G683" s="3">
        <v>647</v>
      </c>
      <c r="H683" s="3">
        <v>172.65</v>
      </c>
      <c r="I683" s="3">
        <v>111704.55</v>
      </c>
      <c r="J683" s="3">
        <v>18.600000000000001</v>
      </c>
    </row>
    <row r="684" spans="1:10" x14ac:dyDescent="0.25">
      <c r="A684" s="2">
        <v>45347</v>
      </c>
      <c r="B684">
        <v>2024</v>
      </c>
      <c r="C684" t="s">
        <v>37</v>
      </c>
      <c r="D684">
        <v>2</v>
      </c>
      <c r="E684" t="s">
        <v>23</v>
      </c>
      <c r="F684" t="s">
        <v>17</v>
      </c>
      <c r="G684" s="3">
        <v>276</v>
      </c>
      <c r="H684" s="3">
        <v>44.81</v>
      </c>
      <c r="I684" s="3">
        <v>12367.56</v>
      </c>
      <c r="J684" s="3">
        <v>11.52</v>
      </c>
    </row>
    <row r="685" spans="1:10" x14ac:dyDescent="0.25">
      <c r="A685" s="2">
        <v>45347</v>
      </c>
      <c r="B685">
        <v>2024</v>
      </c>
      <c r="C685" t="s">
        <v>37</v>
      </c>
      <c r="D685">
        <v>2</v>
      </c>
      <c r="E685" t="s">
        <v>23</v>
      </c>
      <c r="F685" t="s">
        <v>24</v>
      </c>
      <c r="G685" s="3">
        <v>467</v>
      </c>
      <c r="H685" s="3">
        <v>156.56</v>
      </c>
      <c r="I685" s="3">
        <v>73113.52</v>
      </c>
      <c r="J685" s="3">
        <v>12.14</v>
      </c>
    </row>
    <row r="686" spans="1:10" x14ac:dyDescent="0.25">
      <c r="A686" s="2">
        <v>45347</v>
      </c>
      <c r="B686">
        <v>2024</v>
      </c>
      <c r="C686" t="s">
        <v>37</v>
      </c>
      <c r="D686">
        <v>2</v>
      </c>
      <c r="E686" t="s">
        <v>23</v>
      </c>
      <c r="F686" t="s">
        <v>14</v>
      </c>
      <c r="G686" s="3">
        <v>784</v>
      </c>
      <c r="H686" s="3">
        <v>75.010000000000005</v>
      </c>
      <c r="I686" s="3">
        <v>58807.839999999997</v>
      </c>
      <c r="J686" s="3">
        <v>20.07</v>
      </c>
    </row>
    <row r="687" spans="1:10" x14ac:dyDescent="0.25">
      <c r="A687" s="2">
        <v>45347</v>
      </c>
      <c r="B687">
        <v>2024</v>
      </c>
      <c r="C687" t="s">
        <v>37</v>
      </c>
      <c r="D687">
        <v>2</v>
      </c>
      <c r="E687" t="s">
        <v>23</v>
      </c>
      <c r="F687" t="s">
        <v>15</v>
      </c>
      <c r="G687" s="3">
        <v>150</v>
      </c>
      <c r="H687" s="3">
        <v>42.45</v>
      </c>
      <c r="I687" s="3">
        <v>6367.5</v>
      </c>
      <c r="J687" s="3">
        <v>0.42</v>
      </c>
    </row>
    <row r="688" spans="1:10" x14ac:dyDescent="0.25">
      <c r="A688" s="2">
        <v>45347</v>
      </c>
      <c r="B688">
        <v>2024</v>
      </c>
      <c r="C688" t="s">
        <v>37</v>
      </c>
      <c r="D688">
        <v>2</v>
      </c>
      <c r="E688" t="s">
        <v>23</v>
      </c>
      <c r="F688" t="s">
        <v>16</v>
      </c>
      <c r="G688" s="3">
        <v>181</v>
      </c>
      <c r="H688" s="3">
        <v>149.97</v>
      </c>
      <c r="I688" s="3">
        <v>27144.57</v>
      </c>
      <c r="J688" s="3">
        <v>20.45</v>
      </c>
    </row>
    <row r="689" spans="1:10" x14ac:dyDescent="0.25">
      <c r="A689" s="2">
        <v>45347</v>
      </c>
      <c r="B689">
        <v>2024</v>
      </c>
      <c r="C689" t="s">
        <v>37</v>
      </c>
      <c r="D689">
        <v>2</v>
      </c>
      <c r="E689" t="s">
        <v>23</v>
      </c>
      <c r="F689" t="s">
        <v>18</v>
      </c>
      <c r="G689" s="3">
        <v>454</v>
      </c>
      <c r="H689" s="3">
        <v>25.23</v>
      </c>
      <c r="I689" s="3">
        <v>11454.42</v>
      </c>
      <c r="J689" s="3">
        <v>-8.32</v>
      </c>
    </row>
    <row r="690" spans="1:10" x14ac:dyDescent="0.25">
      <c r="A690" s="2">
        <v>45347</v>
      </c>
      <c r="B690">
        <v>2024</v>
      </c>
      <c r="C690" t="s">
        <v>37</v>
      </c>
      <c r="D690">
        <v>2</v>
      </c>
      <c r="E690" t="s">
        <v>23</v>
      </c>
      <c r="F690" t="s">
        <v>19</v>
      </c>
      <c r="G690" s="3">
        <v>237</v>
      </c>
      <c r="H690" s="3">
        <v>162.96</v>
      </c>
      <c r="I690" s="3">
        <v>38621.519999999997</v>
      </c>
      <c r="J690" s="3">
        <v>-11.28</v>
      </c>
    </row>
    <row r="691" spans="1:10" x14ac:dyDescent="0.25">
      <c r="A691" s="2">
        <v>45347</v>
      </c>
      <c r="B691">
        <v>2024</v>
      </c>
      <c r="C691" t="s">
        <v>37</v>
      </c>
      <c r="D691">
        <v>2</v>
      </c>
      <c r="E691" t="s">
        <v>23</v>
      </c>
      <c r="F691" t="s">
        <v>20</v>
      </c>
      <c r="G691" s="3">
        <v>168</v>
      </c>
      <c r="H691" s="3">
        <v>177.37</v>
      </c>
      <c r="I691" s="3">
        <v>29798.16</v>
      </c>
      <c r="J691" s="3">
        <v>5.4</v>
      </c>
    </row>
    <row r="692" spans="1:10" x14ac:dyDescent="0.25">
      <c r="A692" s="2">
        <v>45347</v>
      </c>
      <c r="B692">
        <v>2024</v>
      </c>
      <c r="C692" t="s">
        <v>37</v>
      </c>
      <c r="D692">
        <v>2</v>
      </c>
      <c r="E692" t="s">
        <v>23</v>
      </c>
      <c r="F692" t="s">
        <v>21</v>
      </c>
      <c r="G692" s="3">
        <v>564</v>
      </c>
      <c r="H692" s="3">
        <v>31.67</v>
      </c>
      <c r="I692" s="3">
        <v>17861.88</v>
      </c>
      <c r="J692" s="3">
        <v>8.1999999999999993</v>
      </c>
    </row>
    <row r="693" spans="1:10" x14ac:dyDescent="0.25">
      <c r="A693" s="2">
        <v>45347</v>
      </c>
      <c r="B693">
        <v>2024</v>
      </c>
      <c r="C693" t="s">
        <v>37</v>
      </c>
      <c r="D693">
        <v>2</v>
      </c>
      <c r="E693" t="s">
        <v>23</v>
      </c>
      <c r="F693" t="s">
        <v>22</v>
      </c>
      <c r="G693" s="3">
        <v>104</v>
      </c>
      <c r="H693" s="3">
        <v>146.53</v>
      </c>
      <c r="I693" s="3">
        <v>15239.12</v>
      </c>
      <c r="J693" s="3">
        <v>-12.89</v>
      </c>
    </row>
    <row r="694" spans="1:10" x14ac:dyDescent="0.25">
      <c r="A694" s="2">
        <v>45347</v>
      </c>
      <c r="B694">
        <v>2024</v>
      </c>
      <c r="C694" t="s">
        <v>37</v>
      </c>
      <c r="D694">
        <v>2</v>
      </c>
      <c r="E694" t="s">
        <v>13</v>
      </c>
      <c r="F694" t="s">
        <v>24</v>
      </c>
      <c r="G694" s="3">
        <v>732</v>
      </c>
      <c r="H694" s="3">
        <v>156.47</v>
      </c>
      <c r="I694" s="3">
        <v>114536.04</v>
      </c>
      <c r="J694" s="3">
        <v>14.74</v>
      </c>
    </row>
    <row r="695" spans="1:10" x14ac:dyDescent="0.25">
      <c r="A695" s="2">
        <v>45347</v>
      </c>
      <c r="B695">
        <v>2024</v>
      </c>
      <c r="C695" t="s">
        <v>37</v>
      </c>
      <c r="D695">
        <v>2</v>
      </c>
      <c r="E695" t="s">
        <v>23</v>
      </c>
      <c r="F695" t="s">
        <v>12</v>
      </c>
      <c r="G695" s="3">
        <v>61</v>
      </c>
      <c r="H695" s="3">
        <v>154.22999999999999</v>
      </c>
      <c r="I695" s="3">
        <v>9408.0300000000007</v>
      </c>
      <c r="J695" s="3">
        <v>-6.9</v>
      </c>
    </row>
    <row r="696" spans="1:10" x14ac:dyDescent="0.25">
      <c r="A696" s="2">
        <v>45347</v>
      </c>
      <c r="B696">
        <v>2024</v>
      </c>
      <c r="C696" t="s">
        <v>37</v>
      </c>
      <c r="D696">
        <v>2</v>
      </c>
      <c r="E696" t="s">
        <v>13</v>
      </c>
      <c r="F696" t="s">
        <v>12</v>
      </c>
      <c r="G696" s="3">
        <v>456</v>
      </c>
      <c r="H696" s="3">
        <v>171.33</v>
      </c>
      <c r="I696" s="3">
        <v>78126.48</v>
      </c>
      <c r="J696" s="3">
        <v>14.31</v>
      </c>
    </row>
    <row r="697" spans="1:10" x14ac:dyDescent="0.25">
      <c r="A697" s="2">
        <v>45347</v>
      </c>
      <c r="B697">
        <v>2024</v>
      </c>
      <c r="C697" t="s">
        <v>37</v>
      </c>
      <c r="D697">
        <v>2</v>
      </c>
      <c r="E697" t="s">
        <v>23</v>
      </c>
      <c r="F697" t="s">
        <v>25</v>
      </c>
      <c r="G697" s="3">
        <v>585</v>
      </c>
      <c r="H697" s="3">
        <v>141.76</v>
      </c>
      <c r="I697" s="3">
        <v>82929.600000000006</v>
      </c>
      <c r="J697" s="3">
        <v>17.2</v>
      </c>
    </row>
    <row r="698" spans="1:10" x14ac:dyDescent="0.25">
      <c r="A698" s="2">
        <v>45347</v>
      </c>
      <c r="B698">
        <v>2024</v>
      </c>
      <c r="C698" t="s">
        <v>37</v>
      </c>
      <c r="D698">
        <v>2</v>
      </c>
      <c r="E698" t="s">
        <v>26</v>
      </c>
      <c r="F698" t="s">
        <v>22</v>
      </c>
      <c r="G698" s="3">
        <v>515</v>
      </c>
      <c r="H698" s="3">
        <v>39.43</v>
      </c>
      <c r="I698" s="3">
        <v>20306.45</v>
      </c>
      <c r="J698" s="3">
        <v>12.41</v>
      </c>
    </row>
    <row r="699" spans="1:10" x14ac:dyDescent="0.25">
      <c r="A699" s="2">
        <v>45347</v>
      </c>
      <c r="B699">
        <v>2024</v>
      </c>
      <c r="C699" t="s">
        <v>37</v>
      </c>
      <c r="D699">
        <v>2</v>
      </c>
      <c r="E699" t="s">
        <v>11</v>
      </c>
      <c r="F699" t="s">
        <v>12</v>
      </c>
      <c r="G699" s="3">
        <v>540</v>
      </c>
      <c r="H699" s="3">
        <v>94.18</v>
      </c>
      <c r="I699" s="3">
        <v>50857.2</v>
      </c>
      <c r="J699" s="3">
        <v>6.98</v>
      </c>
    </row>
    <row r="700" spans="1:10" x14ac:dyDescent="0.25">
      <c r="A700" s="2">
        <v>45347</v>
      </c>
      <c r="B700">
        <v>2024</v>
      </c>
      <c r="C700" t="s">
        <v>37</v>
      </c>
      <c r="D700">
        <v>2</v>
      </c>
      <c r="E700" t="s">
        <v>11</v>
      </c>
      <c r="F700" t="s">
        <v>24</v>
      </c>
      <c r="G700" s="3">
        <v>401</v>
      </c>
      <c r="H700" s="3">
        <v>32.369999999999997</v>
      </c>
      <c r="I700" s="3">
        <v>12980.37</v>
      </c>
      <c r="J700" s="3">
        <v>1.97</v>
      </c>
    </row>
    <row r="701" spans="1:10" x14ac:dyDescent="0.25">
      <c r="A701" s="2">
        <v>45347</v>
      </c>
      <c r="B701">
        <v>2024</v>
      </c>
      <c r="C701" t="s">
        <v>37</v>
      </c>
      <c r="D701">
        <v>2</v>
      </c>
      <c r="E701" t="s">
        <v>11</v>
      </c>
      <c r="F701" t="s">
        <v>14</v>
      </c>
      <c r="G701" s="3">
        <v>672</v>
      </c>
      <c r="H701" s="3">
        <v>34.79</v>
      </c>
      <c r="I701" s="3">
        <v>23378.880000000001</v>
      </c>
      <c r="J701" s="3">
        <v>23.71</v>
      </c>
    </row>
    <row r="702" spans="1:10" x14ac:dyDescent="0.25">
      <c r="A702" s="2">
        <v>45347</v>
      </c>
      <c r="B702">
        <v>2024</v>
      </c>
      <c r="C702" t="s">
        <v>37</v>
      </c>
      <c r="D702">
        <v>2</v>
      </c>
      <c r="E702" t="s">
        <v>11</v>
      </c>
      <c r="F702" t="s">
        <v>15</v>
      </c>
      <c r="G702" s="3">
        <v>272</v>
      </c>
      <c r="H702" s="3">
        <v>160.85</v>
      </c>
      <c r="I702" s="3">
        <v>43751.199999999997</v>
      </c>
      <c r="J702" s="3">
        <v>-5.89</v>
      </c>
    </row>
    <row r="703" spans="1:10" x14ac:dyDescent="0.25">
      <c r="A703" s="2">
        <v>45347</v>
      </c>
      <c r="B703">
        <v>2024</v>
      </c>
      <c r="C703" t="s">
        <v>37</v>
      </c>
      <c r="D703">
        <v>2</v>
      </c>
      <c r="E703" t="s">
        <v>11</v>
      </c>
      <c r="F703" t="s">
        <v>16</v>
      </c>
      <c r="G703" s="3">
        <v>378</v>
      </c>
      <c r="H703" s="3">
        <v>88.75</v>
      </c>
      <c r="I703" s="3">
        <v>33547.5</v>
      </c>
      <c r="J703" s="3">
        <v>-6.77</v>
      </c>
    </row>
    <row r="704" spans="1:10" x14ac:dyDescent="0.25">
      <c r="A704" s="2">
        <v>45347</v>
      </c>
      <c r="B704">
        <v>2024</v>
      </c>
      <c r="C704" t="s">
        <v>37</v>
      </c>
      <c r="D704">
        <v>2</v>
      </c>
      <c r="E704" t="s">
        <v>11</v>
      </c>
      <c r="F704" t="s">
        <v>17</v>
      </c>
      <c r="G704" s="3">
        <v>610</v>
      </c>
      <c r="H704" s="3">
        <v>65.97</v>
      </c>
      <c r="I704" s="3">
        <v>40241.699999999997</v>
      </c>
      <c r="J704" s="3">
        <v>-4.57</v>
      </c>
    </row>
    <row r="705" spans="1:10" x14ac:dyDescent="0.25">
      <c r="A705" s="2">
        <v>45347</v>
      </c>
      <c r="B705">
        <v>2024</v>
      </c>
      <c r="C705" t="s">
        <v>37</v>
      </c>
      <c r="D705">
        <v>2</v>
      </c>
      <c r="E705" t="s">
        <v>11</v>
      </c>
      <c r="F705" t="s">
        <v>18</v>
      </c>
      <c r="G705" s="3">
        <v>666</v>
      </c>
      <c r="H705" s="3">
        <v>135.9</v>
      </c>
      <c r="I705" s="3">
        <v>90509.4</v>
      </c>
      <c r="J705" s="3">
        <v>6.21</v>
      </c>
    </row>
    <row r="706" spans="1:10" x14ac:dyDescent="0.25">
      <c r="A706" s="2">
        <v>45347</v>
      </c>
      <c r="B706">
        <v>2024</v>
      </c>
      <c r="C706" t="s">
        <v>37</v>
      </c>
      <c r="D706">
        <v>2</v>
      </c>
      <c r="E706" t="s">
        <v>11</v>
      </c>
      <c r="F706" t="s">
        <v>19</v>
      </c>
      <c r="G706" s="3">
        <v>239</v>
      </c>
      <c r="H706" s="3">
        <v>181.25</v>
      </c>
      <c r="I706" s="3">
        <v>43318.75</v>
      </c>
      <c r="J706" s="3">
        <v>-2.11</v>
      </c>
    </row>
    <row r="707" spans="1:10" x14ac:dyDescent="0.25">
      <c r="A707" s="2">
        <v>45347</v>
      </c>
      <c r="B707">
        <v>2024</v>
      </c>
      <c r="C707" t="s">
        <v>37</v>
      </c>
      <c r="D707">
        <v>2</v>
      </c>
      <c r="E707" t="s">
        <v>11</v>
      </c>
      <c r="F707" t="s">
        <v>20</v>
      </c>
      <c r="G707" s="3">
        <v>725</v>
      </c>
      <c r="H707" s="3">
        <v>72.709999999999994</v>
      </c>
      <c r="I707" s="3">
        <v>52714.75</v>
      </c>
      <c r="J707" s="3">
        <v>24.2</v>
      </c>
    </row>
    <row r="708" spans="1:10" x14ac:dyDescent="0.25">
      <c r="A708" s="2">
        <v>45347</v>
      </c>
      <c r="B708">
        <v>2024</v>
      </c>
      <c r="C708" t="s">
        <v>37</v>
      </c>
      <c r="D708">
        <v>2</v>
      </c>
      <c r="E708" t="s">
        <v>11</v>
      </c>
      <c r="F708" t="s">
        <v>21</v>
      </c>
      <c r="G708" s="3">
        <v>423</v>
      </c>
      <c r="H708" s="3">
        <v>107.48</v>
      </c>
      <c r="I708" s="3">
        <v>45464.04</v>
      </c>
      <c r="J708" s="3">
        <v>21.81</v>
      </c>
    </row>
    <row r="709" spans="1:10" x14ac:dyDescent="0.25">
      <c r="A709" s="2">
        <v>45347</v>
      </c>
      <c r="B709">
        <v>2024</v>
      </c>
      <c r="C709" t="s">
        <v>37</v>
      </c>
      <c r="D709">
        <v>2</v>
      </c>
      <c r="E709" t="s">
        <v>11</v>
      </c>
      <c r="F709" t="s">
        <v>22</v>
      </c>
      <c r="G709" s="3">
        <v>337</v>
      </c>
      <c r="H709" s="3">
        <v>130.97</v>
      </c>
      <c r="I709" s="3">
        <v>44136.89</v>
      </c>
      <c r="J709" s="3">
        <v>-8.73</v>
      </c>
    </row>
    <row r="710" spans="1:10" x14ac:dyDescent="0.25">
      <c r="A710" s="2">
        <v>45347</v>
      </c>
      <c r="B710">
        <v>2024</v>
      </c>
      <c r="C710" t="s">
        <v>37</v>
      </c>
      <c r="D710">
        <v>2</v>
      </c>
      <c r="E710" t="s">
        <v>26</v>
      </c>
      <c r="F710" t="s">
        <v>25</v>
      </c>
      <c r="G710" s="3">
        <v>485</v>
      </c>
      <c r="H710" s="3">
        <v>167.2</v>
      </c>
      <c r="I710" s="3">
        <v>81092</v>
      </c>
      <c r="J710" s="3">
        <v>-6.46</v>
      </c>
    </row>
    <row r="711" spans="1:10" x14ac:dyDescent="0.25">
      <c r="A711" s="2">
        <v>45347</v>
      </c>
      <c r="B711">
        <v>2024</v>
      </c>
      <c r="C711" t="s">
        <v>37</v>
      </c>
      <c r="D711">
        <v>2</v>
      </c>
      <c r="E711" t="s">
        <v>26</v>
      </c>
      <c r="F711" t="s">
        <v>12</v>
      </c>
      <c r="G711" s="3">
        <v>232</v>
      </c>
      <c r="H711" s="3">
        <v>37.1</v>
      </c>
      <c r="I711" s="3">
        <v>8607.2000000000007</v>
      </c>
      <c r="J711" s="3">
        <v>0.04</v>
      </c>
    </row>
    <row r="712" spans="1:10" x14ac:dyDescent="0.25">
      <c r="A712" s="2">
        <v>45347</v>
      </c>
      <c r="B712">
        <v>2024</v>
      </c>
      <c r="C712" t="s">
        <v>37</v>
      </c>
      <c r="D712">
        <v>2</v>
      </c>
      <c r="E712" t="s">
        <v>26</v>
      </c>
      <c r="F712" t="s">
        <v>24</v>
      </c>
      <c r="G712" s="3">
        <v>173</v>
      </c>
      <c r="H712" s="3">
        <v>89.96</v>
      </c>
      <c r="I712" s="3">
        <v>15563.08</v>
      </c>
      <c r="J712" s="3">
        <v>-8.4499999999999993</v>
      </c>
    </row>
    <row r="713" spans="1:10" x14ac:dyDescent="0.25">
      <c r="A713" s="2">
        <v>45347</v>
      </c>
      <c r="B713">
        <v>2024</v>
      </c>
      <c r="C713" t="s">
        <v>37</v>
      </c>
      <c r="D713">
        <v>2</v>
      </c>
      <c r="E713" t="s">
        <v>26</v>
      </c>
      <c r="F713" t="s">
        <v>14</v>
      </c>
      <c r="G713" s="3">
        <v>463</v>
      </c>
      <c r="H713" s="3">
        <v>187.1</v>
      </c>
      <c r="I713" s="3">
        <v>86627.3</v>
      </c>
      <c r="J713" s="3">
        <v>12.04</v>
      </c>
    </row>
    <row r="714" spans="1:10" x14ac:dyDescent="0.25">
      <c r="A714" s="2">
        <v>45347</v>
      </c>
      <c r="B714">
        <v>2024</v>
      </c>
      <c r="C714" t="s">
        <v>37</v>
      </c>
      <c r="D714">
        <v>2</v>
      </c>
      <c r="E714" t="s">
        <v>26</v>
      </c>
      <c r="F714" t="s">
        <v>15</v>
      </c>
      <c r="G714" s="3">
        <v>484</v>
      </c>
      <c r="H714" s="3">
        <v>179.65</v>
      </c>
      <c r="I714" s="3">
        <v>86950.6</v>
      </c>
      <c r="J714" s="3">
        <v>10.83</v>
      </c>
    </row>
    <row r="715" spans="1:10" x14ac:dyDescent="0.25">
      <c r="A715" s="2">
        <v>45347</v>
      </c>
      <c r="B715">
        <v>2024</v>
      </c>
      <c r="C715" t="s">
        <v>37</v>
      </c>
      <c r="D715">
        <v>2</v>
      </c>
      <c r="E715" t="s">
        <v>26</v>
      </c>
      <c r="F715" t="s">
        <v>16</v>
      </c>
      <c r="G715" s="3">
        <v>171</v>
      </c>
      <c r="H715" s="3">
        <v>166.87</v>
      </c>
      <c r="I715" s="3">
        <v>28534.77</v>
      </c>
      <c r="J715" s="3">
        <v>19.45</v>
      </c>
    </row>
    <row r="716" spans="1:10" x14ac:dyDescent="0.25">
      <c r="A716" s="2">
        <v>45347</v>
      </c>
      <c r="B716">
        <v>2024</v>
      </c>
      <c r="C716" t="s">
        <v>37</v>
      </c>
      <c r="D716">
        <v>2</v>
      </c>
      <c r="E716" t="s">
        <v>26</v>
      </c>
      <c r="F716" t="s">
        <v>17</v>
      </c>
      <c r="G716" s="3">
        <v>546</v>
      </c>
      <c r="H716" s="3">
        <v>66.52</v>
      </c>
      <c r="I716" s="3">
        <v>36319.919999999998</v>
      </c>
      <c r="J716" s="3">
        <v>6.76</v>
      </c>
    </row>
    <row r="717" spans="1:10" x14ac:dyDescent="0.25">
      <c r="A717" s="2">
        <v>45347</v>
      </c>
      <c r="B717">
        <v>2024</v>
      </c>
      <c r="C717" t="s">
        <v>37</v>
      </c>
      <c r="D717">
        <v>2</v>
      </c>
      <c r="E717" t="s">
        <v>26</v>
      </c>
      <c r="F717" t="s">
        <v>18</v>
      </c>
      <c r="G717" s="3">
        <v>198</v>
      </c>
      <c r="H717" s="3">
        <v>155.91</v>
      </c>
      <c r="I717" s="3">
        <v>30870.18</v>
      </c>
      <c r="J717" s="3">
        <v>3.42</v>
      </c>
    </row>
    <row r="718" spans="1:10" x14ac:dyDescent="0.25">
      <c r="A718" s="2">
        <v>45347</v>
      </c>
      <c r="B718">
        <v>2024</v>
      </c>
      <c r="C718" t="s">
        <v>37</v>
      </c>
      <c r="D718">
        <v>2</v>
      </c>
      <c r="E718" t="s">
        <v>26</v>
      </c>
      <c r="F718" t="s">
        <v>19</v>
      </c>
      <c r="G718" s="3">
        <v>351</v>
      </c>
      <c r="H718" s="3">
        <v>151.13</v>
      </c>
      <c r="I718" s="3">
        <v>53046.63</v>
      </c>
      <c r="J718" s="3">
        <v>16.059999999999999</v>
      </c>
    </row>
    <row r="719" spans="1:10" x14ac:dyDescent="0.25">
      <c r="A719" s="2">
        <v>45347</v>
      </c>
      <c r="B719">
        <v>2024</v>
      </c>
      <c r="C719" t="s">
        <v>37</v>
      </c>
      <c r="D719">
        <v>2</v>
      </c>
      <c r="E719" t="s">
        <v>26</v>
      </c>
      <c r="F719" t="s">
        <v>20</v>
      </c>
      <c r="G719" s="3">
        <v>285</v>
      </c>
      <c r="H719" s="3">
        <v>29.69</v>
      </c>
      <c r="I719" s="3">
        <v>8461.65</v>
      </c>
      <c r="J719" s="3">
        <v>-2.2000000000000002</v>
      </c>
    </row>
    <row r="720" spans="1:10" x14ac:dyDescent="0.25">
      <c r="A720" s="2">
        <v>45347</v>
      </c>
      <c r="B720">
        <v>2024</v>
      </c>
      <c r="C720" t="s">
        <v>37</v>
      </c>
      <c r="D720">
        <v>2</v>
      </c>
      <c r="E720" t="s">
        <v>26</v>
      </c>
      <c r="F720" t="s">
        <v>21</v>
      </c>
      <c r="G720" s="3">
        <v>711</v>
      </c>
      <c r="H720" s="3">
        <v>197.24</v>
      </c>
      <c r="I720" s="3">
        <v>140237.64000000001</v>
      </c>
      <c r="J720" s="3">
        <v>22.5</v>
      </c>
    </row>
    <row r="721" spans="1:10" x14ac:dyDescent="0.25">
      <c r="A721" s="2">
        <v>45347</v>
      </c>
      <c r="B721">
        <v>2024</v>
      </c>
      <c r="C721" t="s">
        <v>37</v>
      </c>
      <c r="D721">
        <v>2</v>
      </c>
      <c r="E721" t="s">
        <v>11</v>
      </c>
      <c r="F721" t="s">
        <v>25</v>
      </c>
      <c r="G721" s="3">
        <v>571</v>
      </c>
      <c r="H721" s="3">
        <v>80.89</v>
      </c>
      <c r="I721" s="3">
        <v>46188.19</v>
      </c>
      <c r="J721" s="3">
        <v>22.12</v>
      </c>
    </row>
    <row r="722" spans="1:10" x14ac:dyDescent="0.25">
      <c r="A722" s="2">
        <v>45377</v>
      </c>
      <c r="B722">
        <v>2024</v>
      </c>
      <c r="C722" t="s">
        <v>27</v>
      </c>
      <c r="D722">
        <v>3</v>
      </c>
      <c r="E722" t="s">
        <v>13</v>
      </c>
      <c r="F722" t="s">
        <v>21</v>
      </c>
      <c r="G722" s="3">
        <v>248</v>
      </c>
      <c r="H722" s="3">
        <v>90.82</v>
      </c>
      <c r="I722" s="3">
        <v>22523.360000000001</v>
      </c>
      <c r="J722" s="3">
        <v>18.11</v>
      </c>
    </row>
    <row r="723" spans="1:10" x14ac:dyDescent="0.25">
      <c r="A723" s="2">
        <v>45377</v>
      </c>
      <c r="B723">
        <v>2024</v>
      </c>
      <c r="C723" t="s">
        <v>27</v>
      </c>
      <c r="D723">
        <v>3</v>
      </c>
      <c r="E723" t="s">
        <v>13</v>
      </c>
      <c r="F723" t="s">
        <v>20</v>
      </c>
      <c r="G723" s="3">
        <v>252</v>
      </c>
      <c r="H723" s="3">
        <v>193.41</v>
      </c>
      <c r="I723" s="3">
        <v>48739.32</v>
      </c>
      <c r="J723" s="3">
        <v>7.41</v>
      </c>
    </row>
    <row r="724" spans="1:10" x14ac:dyDescent="0.25">
      <c r="A724" s="2">
        <v>45377</v>
      </c>
      <c r="B724">
        <v>2024</v>
      </c>
      <c r="C724" t="s">
        <v>27</v>
      </c>
      <c r="D724">
        <v>3</v>
      </c>
      <c r="E724" t="s">
        <v>13</v>
      </c>
      <c r="F724" t="s">
        <v>19</v>
      </c>
      <c r="G724" s="3">
        <v>688</v>
      </c>
      <c r="H724" s="3">
        <v>62.62</v>
      </c>
      <c r="I724" s="3">
        <v>43082.559999999998</v>
      </c>
      <c r="J724" s="3">
        <v>14.3</v>
      </c>
    </row>
    <row r="725" spans="1:10" x14ac:dyDescent="0.25">
      <c r="A725" s="2">
        <v>45377</v>
      </c>
      <c r="B725">
        <v>2024</v>
      </c>
      <c r="C725" t="s">
        <v>27</v>
      </c>
      <c r="D725">
        <v>3</v>
      </c>
      <c r="E725" t="s">
        <v>13</v>
      </c>
      <c r="F725" t="s">
        <v>14</v>
      </c>
      <c r="G725" s="3">
        <v>449</v>
      </c>
      <c r="H725" s="3">
        <v>156.69</v>
      </c>
      <c r="I725" s="3">
        <v>70353.81</v>
      </c>
      <c r="J725" s="3">
        <v>2.99</v>
      </c>
    </row>
    <row r="726" spans="1:10" x14ac:dyDescent="0.25">
      <c r="A726" s="2">
        <v>45377</v>
      </c>
      <c r="B726">
        <v>2024</v>
      </c>
      <c r="C726" t="s">
        <v>27</v>
      </c>
      <c r="D726">
        <v>3</v>
      </c>
      <c r="E726" t="s">
        <v>13</v>
      </c>
      <c r="F726" t="s">
        <v>17</v>
      </c>
      <c r="G726" s="3">
        <v>299</v>
      </c>
      <c r="H726" s="3">
        <v>121.16</v>
      </c>
      <c r="I726" s="3">
        <v>36226.839999999997</v>
      </c>
      <c r="J726" s="3">
        <v>-1.1599999999999999</v>
      </c>
    </row>
    <row r="727" spans="1:10" x14ac:dyDescent="0.25">
      <c r="A727" s="2">
        <v>45377</v>
      </c>
      <c r="B727">
        <v>2024</v>
      </c>
      <c r="C727" t="s">
        <v>27</v>
      </c>
      <c r="D727">
        <v>3</v>
      </c>
      <c r="E727" t="s">
        <v>13</v>
      </c>
      <c r="F727" t="s">
        <v>16</v>
      </c>
      <c r="G727" s="3">
        <v>277</v>
      </c>
      <c r="H727" s="3">
        <v>26.05</v>
      </c>
      <c r="I727" s="3">
        <v>7215.85</v>
      </c>
      <c r="J727" s="3">
        <v>-12.49</v>
      </c>
    </row>
    <row r="728" spans="1:10" x14ac:dyDescent="0.25">
      <c r="A728" s="2">
        <v>45377</v>
      </c>
      <c r="B728">
        <v>2024</v>
      </c>
      <c r="C728" t="s">
        <v>27</v>
      </c>
      <c r="D728">
        <v>3</v>
      </c>
      <c r="E728" t="s">
        <v>13</v>
      </c>
      <c r="F728" t="s">
        <v>15</v>
      </c>
      <c r="G728" s="3">
        <v>254</v>
      </c>
      <c r="H728" s="3">
        <v>68.27</v>
      </c>
      <c r="I728" s="3">
        <v>17340.580000000002</v>
      </c>
      <c r="J728" s="3">
        <v>-8.74</v>
      </c>
    </row>
    <row r="729" spans="1:10" x14ac:dyDescent="0.25">
      <c r="A729" s="2">
        <v>45377</v>
      </c>
      <c r="B729">
        <v>2024</v>
      </c>
      <c r="C729" t="s">
        <v>27</v>
      </c>
      <c r="D729">
        <v>3</v>
      </c>
      <c r="E729" t="s">
        <v>13</v>
      </c>
      <c r="F729" t="s">
        <v>22</v>
      </c>
      <c r="G729" s="3">
        <v>191</v>
      </c>
      <c r="H729" s="3">
        <v>151.55000000000001</v>
      </c>
      <c r="I729" s="3">
        <v>28946.05</v>
      </c>
      <c r="J729" s="3">
        <v>24.25</v>
      </c>
    </row>
    <row r="730" spans="1:10" x14ac:dyDescent="0.25">
      <c r="A730" s="2">
        <v>45377</v>
      </c>
      <c r="B730">
        <v>2024</v>
      </c>
      <c r="C730" t="s">
        <v>27</v>
      </c>
      <c r="D730">
        <v>3</v>
      </c>
      <c r="E730" t="s">
        <v>13</v>
      </c>
      <c r="F730" t="s">
        <v>18</v>
      </c>
      <c r="G730" s="3">
        <v>739</v>
      </c>
      <c r="H730" s="3">
        <v>94</v>
      </c>
      <c r="I730" s="3">
        <v>69466</v>
      </c>
      <c r="J730" s="3">
        <v>-1.1100000000000001</v>
      </c>
    </row>
    <row r="731" spans="1:10" x14ac:dyDescent="0.25">
      <c r="A731" s="2">
        <v>45377</v>
      </c>
      <c r="B731">
        <v>2024</v>
      </c>
      <c r="C731" t="s">
        <v>27</v>
      </c>
      <c r="D731">
        <v>3</v>
      </c>
      <c r="E731" t="s">
        <v>13</v>
      </c>
      <c r="F731" t="s">
        <v>25</v>
      </c>
      <c r="G731" s="3">
        <v>131</v>
      </c>
      <c r="H731" s="3">
        <v>46.09</v>
      </c>
      <c r="I731" s="3">
        <v>6037.79</v>
      </c>
      <c r="J731" s="3">
        <v>14.01</v>
      </c>
    </row>
    <row r="732" spans="1:10" x14ac:dyDescent="0.25">
      <c r="A732" s="2">
        <v>45377</v>
      </c>
      <c r="B732">
        <v>2024</v>
      </c>
      <c r="C732" t="s">
        <v>27</v>
      </c>
      <c r="D732">
        <v>3</v>
      </c>
      <c r="E732" t="s">
        <v>23</v>
      </c>
      <c r="F732" t="s">
        <v>17</v>
      </c>
      <c r="G732" s="3">
        <v>403</v>
      </c>
      <c r="H732" s="3">
        <v>92.72</v>
      </c>
      <c r="I732" s="3">
        <v>37366.160000000003</v>
      </c>
      <c r="J732" s="3">
        <v>6.7</v>
      </c>
    </row>
    <row r="733" spans="1:10" x14ac:dyDescent="0.25">
      <c r="A733" s="2">
        <v>45377</v>
      </c>
      <c r="B733">
        <v>2024</v>
      </c>
      <c r="C733" t="s">
        <v>27</v>
      </c>
      <c r="D733">
        <v>3</v>
      </c>
      <c r="E733" t="s">
        <v>23</v>
      </c>
      <c r="F733" t="s">
        <v>24</v>
      </c>
      <c r="G733" s="3">
        <v>433</v>
      </c>
      <c r="H733" s="3">
        <v>194.12</v>
      </c>
      <c r="I733" s="3">
        <v>84053.96</v>
      </c>
      <c r="J733" s="3">
        <v>-7.68</v>
      </c>
    </row>
    <row r="734" spans="1:10" x14ac:dyDescent="0.25">
      <c r="A734" s="2">
        <v>45377</v>
      </c>
      <c r="B734">
        <v>2024</v>
      </c>
      <c r="C734" t="s">
        <v>27</v>
      </c>
      <c r="D734">
        <v>3</v>
      </c>
      <c r="E734" t="s">
        <v>23</v>
      </c>
      <c r="F734" t="s">
        <v>14</v>
      </c>
      <c r="G734" s="3">
        <v>210</v>
      </c>
      <c r="H734" s="3">
        <v>47.22</v>
      </c>
      <c r="I734" s="3">
        <v>9916.2000000000007</v>
      </c>
      <c r="J734" s="3">
        <v>-5.99</v>
      </c>
    </row>
    <row r="735" spans="1:10" x14ac:dyDescent="0.25">
      <c r="A735" s="2">
        <v>45377</v>
      </c>
      <c r="B735">
        <v>2024</v>
      </c>
      <c r="C735" t="s">
        <v>27</v>
      </c>
      <c r="D735">
        <v>3</v>
      </c>
      <c r="E735" t="s">
        <v>23</v>
      </c>
      <c r="F735" t="s">
        <v>15</v>
      </c>
      <c r="G735" s="3">
        <v>539</v>
      </c>
      <c r="H735" s="3">
        <v>35.99</v>
      </c>
      <c r="I735" s="3">
        <v>19398.61</v>
      </c>
      <c r="J735" s="3">
        <v>12.35</v>
      </c>
    </row>
    <row r="736" spans="1:10" x14ac:dyDescent="0.25">
      <c r="A736" s="2">
        <v>45377</v>
      </c>
      <c r="B736">
        <v>2024</v>
      </c>
      <c r="C736" t="s">
        <v>27</v>
      </c>
      <c r="D736">
        <v>3</v>
      </c>
      <c r="E736" t="s">
        <v>23</v>
      </c>
      <c r="F736" t="s">
        <v>16</v>
      </c>
      <c r="G736" s="3">
        <v>338</v>
      </c>
      <c r="H736" s="3">
        <v>114.21</v>
      </c>
      <c r="I736" s="3">
        <v>38602.980000000003</v>
      </c>
      <c r="J736" s="3">
        <v>-10.41</v>
      </c>
    </row>
    <row r="737" spans="1:10" x14ac:dyDescent="0.25">
      <c r="A737" s="2">
        <v>45377</v>
      </c>
      <c r="B737">
        <v>2024</v>
      </c>
      <c r="C737" t="s">
        <v>27</v>
      </c>
      <c r="D737">
        <v>3</v>
      </c>
      <c r="E737" t="s">
        <v>23</v>
      </c>
      <c r="F737" t="s">
        <v>18</v>
      </c>
      <c r="G737" s="3">
        <v>472</v>
      </c>
      <c r="H737" s="3">
        <v>147.41</v>
      </c>
      <c r="I737" s="3">
        <v>69577.52</v>
      </c>
      <c r="J737" s="3">
        <v>6.74</v>
      </c>
    </row>
    <row r="738" spans="1:10" x14ac:dyDescent="0.25">
      <c r="A738" s="2">
        <v>45377</v>
      </c>
      <c r="B738">
        <v>2024</v>
      </c>
      <c r="C738" t="s">
        <v>27</v>
      </c>
      <c r="D738">
        <v>3</v>
      </c>
      <c r="E738" t="s">
        <v>23</v>
      </c>
      <c r="F738" t="s">
        <v>19</v>
      </c>
      <c r="G738" s="3">
        <v>543</v>
      </c>
      <c r="H738" s="3">
        <v>102.49</v>
      </c>
      <c r="I738" s="3">
        <v>55652.07</v>
      </c>
      <c r="J738" s="3">
        <v>4.3899999999999997</v>
      </c>
    </row>
    <row r="739" spans="1:10" x14ac:dyDescent="0.25">
      <c r="A739" s="2">
        <v>45377</v>
      </c>
      <c r="B739">
        <v>2024</v>
      </c>
      <c r="C739" t="s">
        <v>27</v>
      </c>
      <c r="D739">
        <v>3</v>
      </c>
      <c r="E739" t="s">
        <v>23</v>
      </c>
      <c r="F739" t="s">
        <v>20</v>
      </c>
      <c r="G739" s="3">
        <v>566</v>
      </c>
      <c r="H739" s="3">
        <v>190.23</v>
      </c>
      <c r="I739" s="3">
        <v>107670.18</v>
      </c>
      <c r="J739" s="3">
        <v>19</v>
      </c>
    </row>
    <row r="740" spans="1:10" x14ac:dyDescent="0.25">
      <c r="A740" s="2">
        <v>45377</v>
      </c>
      <c r="B740">
        <v>2024</v>
      </c>
      <c r="C740" t="s">
        <v>27</v>
      </c>
      <c r="D740">
        <v>3</v>
      </c>
      <c r="E740" t="s">
        <v>23</v>
      </c>
      <c r="F740" t="s">
        <v>21</v>
      </c>
      <c r="G740" s="3">
        <v>115</v>
      </c>
      <c r="H740" s="3">
        <v>37.56</v>
      </c>
      <c r="I740" s="3">
        <v>4319.3999999999996</v>
      </c>
      <c r="J740" s="3">
        <v>19.48</v>
      </c>
    </row>
    <row r="741" spans="1:10" x14ac:dyDescent="0.25">
      <c r="A741" s="2">
        <v>45377</v>
      </c>
      <c r="B741">
        <v>2024</v>
      </c>
      <c r="C741" t="s">
        <v>27</v>
      </c>
      <c r="D741">
        <v>3</v>
      </c>
      <c r="E741" t="s">
        <v>23</v>
      </c>
      <c r="F741" t="s">
        <v>22</v>
      </c>
      <c r="G741" s="3">
        <v>484</v>
      </c>
      <c r="H741" s="3">
        <v>137.18</v>
      </c>
      <c r="I741" s="3">
        <v>66395.12</v>
      </c>
      <c r="J741" s="3">
        <v>6.82</v>
      </c>
    </row>
    <row r="742" spans="1:10" x14ac:dyDescent="0.25">
      <c r="A742" s="2">
        <v>45377</v>
      </c>
      <c r="B742">
        <v>2024</v>
      </c>
      <c r="C742" t="s">
        <v>27</v>
      </c>
      <c r="D742">
        <v>3</v>
      </c>
      <c r="E742" t="s">
        <v>13</v>
      </c>
      <c r="F742" t="s">
        <v>24</v>
      </c>
      <c r="G742" s="3">
        <v>269</v>
      </c>
      <c r="H742" s="3">
        <v>161.68</v>
      </c>
      <c r="I742" s="3">
        <v>43491.92</v>
      </c>
      <c r="J742" s="3">
        <v>23.99</v>
      </c>
    </row>
    <row r="743" spans="1:10" x14ac:dyDescent="0.25">
      <c r="A743" s="2">
        <v>45377</v>
      </c>
      <c r="B743">
        <v>2024</v>
      </c>
      <c r="C743" t="s">
        <v>27</v>
      </c>
      <c r="D743">
        <v>3</v>
      </c>
      <c r="E743" t="s">
        <v>23</v>
      </c>
      <c r="F743" t="s">
        <v>12</v>
      </c>
      <c r="G743" s="3">
        <v>354</v>
      </c>
      <c r="H743" s="3">
        <v>103.51</v>
      </c>
      <c r="I743" s="3">
        <v>36642.54</v>
      </c>
      <c r="J743" s="3">
        <v>23.88</v>
      </c>
    </row>
    <row r="744" spans="1:10" x14ac:dyDescent="0.25">
      <c r="A744" s="2">
        <v>45377</v>
      </c>
      <c r="B744">
        <v>2024</v>
      </c>
      <c r="C744" t="s">
        <v>27</v>
      </c>
      <c r="D744">
        <v>3</v>
      </c>
      <c r="E744" t="s">
        <v>13</v>
      </c>
      <c r="F744" t="s">
        <v>12</v>
      </c>
      <c r="G744" s="3">
        <v>463</v>
      </c>
      <c r="H744" s="3">
        <v>26.53</v>
      </c>
      <c r="I744" s="3">
        <v>12283.39</v>
      </c>
      <c r="J744" s="3">
        <v>-3.97</v>
      </c>
    </row>
    <row r="745" spans="1:10" x14ac:dyDescent="0.25">
      <c r="A745" s="2">
        <v>45377</v>
      </c>
      <c r="B745">
        <v>2024</v>
      </c>
      <c r="C745" t="s">
        <v>27</v>
      </c>
      <c r="D745">
        <v>3</v>
      </c>
      <c r="E745" t="s">
        <v>23</v>
      </c>
      <c r="F745" t="s">
        <v>25</v>
      </c>
      <c r="G745" s="3">
        <v>393</v>
      </c>
      <c r="H745" s="3">
        <v>161.65</v>
      </c>
      <c r="I745" s="3">
        <v>63528.45</v>
      </c>
      <c r="J745" s="3">
        <v>-10.52</v>
      </c>
    </row>
    <row r="746" spans="1:10" x14ac:dyDescent="0.25">
      <c r="A746" s="2">
        <v>45377</v>
      </c>
      <c r="B746">
        <v>2024</v>
      </c>
      <c r="C746" t="s">
        <v>27</v>
      </c>
      <c r="D746">
        <v>3</v>
      </c>
      <c r="E746" t="s">
        <v>26</v>
      </c>
      <c r="F746" t="s">
        <v>22</v>
      </c>
      <c r="G746" s="3">
        <v>592</v>
      </c>
      <c r="H746" s="3">
        <v>186.07</v>
      </c>
      <c r="I746" s="3">
        <v>110153.44</v>
      </c>
      <c r="J746" s="3">
        <v>3.88</v>
      </c>
    </row>
    <row r="747" spans="1:10" x14ac:dyDescent="0.25">
      <c r="A747" s="2">
        <v>45377</v>
      </c>
      <c r="B747">
        <v>2024</v>
      </c>
      <c r="C747" t="s">
        <v>27</v>
      </c>
      <c r="D747">
        <v>3</v>
      </c>
      <c r="E747" t="s">
        <v>11</v>
      </c>
      <c r="F747" t="s">
        <v>12</v>
      </c>
      <c r="G747" s="3">
        <v>208</v>
      </c>
      <c r="H747" s="3">
        <v>24.13</v>
      </c>
      <c r="I747" s="3">
        <v>5019.04</v>
      </c>
      <c r="J747" s="3">
        <v>-2.12</v>
      </c>
    </row>
    <row r="748" spans="1:10" x14ac:dyDescent="0.25">
      <c r="A748" s="2">
        <v>45377</v>
      </c>
      <c r="B748">
        <v>2024</v>
      </c>
      <c r="C748" t="s">
        <v>27</v>
      </c>
      <c r="D748">
        <v>3</v>
      </c>
      <c r="E748" t="s">
        <v>11</v>
      </c>
      <c r="F748" t="s">
        <v>24</v>
      </c>
      <c r="G748" s="3">
        <v>368</v>
      </c>
      <c r="H748" s="3">
        <v>33.869999999999997</v>
      </c>
      <c r="I748" s="3">
        <v>12464.16</v>
      </c>
      <c r="J748" s="3">
        <v>-12.66</v>
      </c>
    </row>
    <row r="749" spans="1:10" x14ac:dyDescent="0.25">
      <c r="A749" s="2">
        <v>45377</v>
      </c>
      <c r="B749">
        <v>2024</v>
      </c>
      <c r="C749" t="s">
        <v>27</v>
      </c>
      <c r="D749">
        <v>3</v>
      </c>
      <c r="E749" t="s">
        <v>11</v>
      </c>
      <c r="F749" t="s">
        <v>14</v>
      </c>
      <c r="G749" s="3">
        <v>158</v>
      </c>
      <c r="H749" s="3">
        <v>154.27000000000001</v>
      </c>
      <c r="I749" s="3">
        <v>24374.66</v>
      </c>
      <c r="J749" s="3">
        <v>24.28</v>
      </c>
    </row>
    <row r="750" spans="1:10" x14ac:dyDescent="0.25">
      <c r="A750" s="2">
        <v>45377</v>
      </c>
      <c r="B750">
        <v>2024</v>
      </c>
      <c r="C750" t="s">
        <v>27</v>
      </c>
      <c r="D750">
        <v>3</v>
      </c>
      <c r="E750" t="s">
        <v>11</v>
      </c>
      <c r="F750" t="s">
        <v>15</v>
      </c>
      <c r="G750" s="3">
        <v>166</v>
      </c>
      <c r="H750" s="3">
        <v>161.94999999999999</v>
      </c>
      <c r="I750" s="3">
        <v>26883.7</v>
      </c>
      <c r="J750" s="3">
        <v>5.69</v>
      </c>
    </row>
    <row r="751" spans="1:10" x14ac:dyDescent="0.25">
      <c r="A751" s="2">
        <v>45377</v>
      </c>
      <c r="B751">
        <v>2024</v>
      </c>
      <c r="C751" t="s">
        <v>27</v>
      </c>
      <c r="D751">
        <v>3</v>
      </c>
      <c r="E751" t="s">
        <v>11</v>
      </c>
      <c r="F751" t="s">
        <v>16</v>
      </c>
      <c r="G751" s="3">
        <v>481</v>
      </c>
      <c r="H751" s="3">
        <v>87.22</v>
      </c>
      <c r="I751" s="3">
        <v>41952.82</v>
      </c>
      <c r="J751" s="3">
        <v>-10.1</v>
      </c>
    </row>
    <row r="752" spans="1:10" x14ac:dyDescent="0.25">
      <c r="A752" s="2">
        <v>45377</v>
      </c>
      <c r="B752">
        <v>2024</v>
      </c>
      <c r="C752" t="s">
        <v>27</v>
      </c>
      <c r="D752">
        <v>3</v>
      </c>
      <c r="E752" t="s">
        <v>11</v>
      </c>
      <c r="F752" t="s">
        <v>17</v>
      </c>
      <c r="G752" s="3">
        <v>162</v>
      </c>
      <c r="H752" s="3">
        <v>98.12</v>
      </c>
      <c r="I752" s="3">
        <v>15895.44</v>
      </c>
      <c r="J752" s="3">
        <v>-11.46</v>
      </c>
    </row>
    <row r="753" spans="1:10" x14ac:dyDescent="0.25">
      <c r="A753" s="2">
        <v>45377</v>
      </c>
      <c r="B753">
        <v>2024</v>
      </c>
      <c r="C753" t="s">
        <v>27</v>
      </c>
      <c r="D753">
        <v>3</v>
      </c>
      <c r="E753" t="s">
        <v>11</v>
      </c>
      <c r="F753" t="s">
        <v>18</v>
      </c>
      <c r="G753" s="3">
        <v>677</v>
      </c>
      <c r="H753" s="3">
        <v>31.26</v>
      </c>
      <c r="I753" s="3">
        <v>21163.02</v>
      </c>
      <c r="J753" s="3">
        <v>17.05</v>
      </c>
    </row>
    <row r="754" spans="1:10" x14ac:dyDescent="0.25">
      <c r="A754" s="2">
        <v>45377</v>
      </c>
      <c r="B754">
        <v>2024</v>
      </c>
      <c r="C754" t="s">
        <v>27</v>
      </c>
      <c r="D754">
        <v>3</v>
      </c>
      <c r="E754" t="s">
        <v>11</v>
      </c>
      <c r="F754" t="s">
        <v>19</v>
      </c>
      <c r="G754" s="3">
        <v>352</v>
      </c>
      <c r="H754" s="3">
        <v>199.7</v>
      </c>
      <c r="I754" s="3">
        <v>70294.399999999994</v>
      </c>
      <c r="J754" s="3">
        <v>22.32</v>
      </c>
    </row>
    <row r="755" spans="1:10" x14ac:dyDescent="0.25">
      <c r="A755" s="2">
        <v>45377</v>
      </c>
      <c r="B755">
        <v>2024</v>
      </c>
      <c r="C755" t="s">
        <v>27</v>
      </c>
      <c r="D755">
        <v>3</v>
      </c>
      <c r="E755" t="s">
        <v>11</v>
      </c>
      <c r="F755" t="s">
        <v>20</v>
      </c>
      <c r="G755" s="3">
        <v>210</v>
      </c>
      <c r="H755" s="3">
        <v>95.82</v>
      </c>
      <c r="I755" s="3">
        <v>20122.2</v>
      </c>
      <c r="J755" s="3">
        <v>10.45</v>
      </c>
    </row>
    <row r="756" spans="1:10" x14ac:dyDescent="0.25">
      <c r="A756" s="2">
        <v>45377</v>
      </c>
      <c r="B756">
        <v>2024</v>
      </c>
      <c r="C756" t="s">
        <v>27</v>
      </c>
      <c r="D756">
        <v>3</v>
      </c>
      <c r="E756" t="s">
        <v>11</v>
      </c>
      <c r="F756" t="s">
        <v>21</v>
      </c>
      <c r="G756" s="3">
        <v>96</v>
      </c>
      <c r="H756" s="3">
        <v>41.3</v>
      </c>
      <c r="I756" s="3">
        <v>3964.8</v>
      </c>
      <c r="J756" s="3">
        <v>1.4</v>
      </c>
    </row>
    <row r="757" spans="1:10" x14ac:dyDescent="0.25">
      <c r="A757" s="2">
        <v>45377</v>
      </c>
      <c r="B757">
        <v>2024</v>
      </c>
      <c r="C757" t="s">
        <v>27</v>
      </c>
      <c r="D757">
        <v>3</v>
      </c>
      <c r="E757" t="s">
        <v>11</v>
      </c>
      <c r="F757" t="s">
        <v>22</v>
      </c>
      <c r="G757" s="3">
        <v>127</v>
      </c>
      <c r="H757" s="3">
        <v>154.5</v>
      </c>
      <c r="I757" s="3">
        <v>19621.5</v>
      </c>
      <c r="J757" s="3">
        <v>14.6</v>
      </c>
    </row>
    <row r="758" spans="1:10" x14ac:dyDescent="0.25">
      <c r="A758" s="2">
        <v>45377</v>
      </c>
      <c r="B758">
        <v>2024</v>
      </c>
      <c r="C758" t="s">
        <v>27</v>
      </c>
      <c r="D758">
        <v>3</v>
      </c>
      <c r="E758" t="s">
        <v>26</v>
      </c>
      <c r="F758" t="s">
        <v>25</v>
      </c>
      <c r="G758" s="3">
        <v>774</v>
      </c>
      <c r="H758" s="3">
        <v>32.409999999999997</v>
      </c>
      <c r="I758" s="3">
        <v>25085.34</v>
      </c>
      <c r="J758" s="3">
        <v>-12.72</v>
      </c>
    </row>
    <row r="759" spans="1:10" x14ac:dyDescent="0.25">
      <c r="A759" s="2">
        <v>45377</v>
      </c>
      <c r="B759">
        <v>2024</v>
      </c>
      <c r="C759" t="s">
        <v>27</v>
      </c>
      <c r="D759">
        <v>3</v>
      </c>
      <c r="E759" t="s">
        <v>26</v>
      </c>
      <c r="F759" t="s">
        <v>12</v>
      </c>
      <c r="G759" s="3">
        <v>622</v>
      </c>
      <c r="H759" s="3">
        <v>196.34</v>
      </c>
      <c r="I759" s="3">
        <v>122123.48</v>
      </c>
      <c r="J759" s="3">
        <v>-8.39</v>
      </c>
    </row>
    <row r="760" spans="1:10" x14ac:dyDescent="0.25">
      <c r="A760" s="2">
        <v>45377</v>
      </c>
      <c r="B760">
        <v>2024</v>
      </c>
      <c r="C760" t="s">
        <v>27</v>
      </c>
      <c r="D760">
        <v>3</v>
      </c>
      <c r="E760" t="s">
        <v>26</v>
      </c>
      <c r="F760" t="s">
        <v>24</v>
      </c>
      <c r="G760" s="3">
        <v>668</v>
      </c>
      <c r="H760" s="3">
        <v>24.35</v>
      </c>
      <c r="I760" s="3">
        <v>16265.8</v>
      </c>
      <c r="J760" s="3">
        <v>18.27</v>
      </c>
    </row>
    <row r="761" spans="1:10" x14ac:dyDescent="0.25">
      <c r="A761" s="2">
        <v>45377</v>
      </c>
      <c r="B761">
        <v>2024</v>
      </c>
      <c r="C761" t="s">
        <v>27</v>
      </c>
      <c r="D761">
        <v>3</v>
      </c>
      <c r="E761" t="s">
        <v>26</v>
      </c>
      <c r="F761" t="s">
        <v>14</v>
      </c>
      <c r="G761" s="3">
        <v>759</v>
      </c>
      <c r="H761" s="3">
        <v>113.25</v>
      </c>
      <c r="I761" s="3">
        <v>85956.75</v>
      </c>
      <c r="J761" s="3">
        <v>-3.05</v>
      </c>
    </row>
    <row r="762" spans="1:10" x14ac:dyDescent="0.25">
      <c r="A762" s="2">
        <v>45377</v>
      </c>
      <c r="B762">
        <v>2024</v>
      </c>
      <c r="C762" t="s">
        <v>27</v>
      </c>
      <c r="D762">
        <v>3</v>
      </c>
      <c r="E762" t="s">
        <v>26</v>
      </c>
      <c r="F762" t="s">
        <v>15</v>
      </c>
      <c r="G762" s="3">
        <v>475</v>
      </c>
      <c r="H762" s="3">
        <v>173.49</v>
      </c>
      <c r="I762" s="3">
        <v>82407.75</v>
      </c>
      <c r="J762" s="3">
        <v>-5.98</v>
      </c>
    </row>
    <row r="763" spans="1:10" x14ac:dyDescent="0.25">
      <c r="A763" s="2">
        <v>45377</v>
      </c>
      <c r="B763">
        <v>2024</v>
      </c>
      <c r="C763" t="s">
        <v>27</v>
      </c>
      <c r="D763">
        <v>3</v>
      </c>
      <c r="E763" t="s">
        <v>26</v>
      </c>
      <c r="F763" t="s">
        <v>16</v>
      </c>
      <c r="G763" s="3">
        <v>630</v>
      </c>
      <c r="H763" s="3">
        <v>171.55</v>
      </c>
      <c r="I763" s="3">
        <v>108076.5</v>
      </c>
      <c r="J763" s="3">
        <v>-7.56</v>
      </c>
    </row>
    <row r="764" spans="1:10" x14ac:dyDescent="0.25">
      <c r="A764" s="2">
        <v>45377</v>
      </c>
      <c r="B764">
        <v>2024</v>
      </c>
      <c r="C764" t="s">
        <v>27</v>
      </c>
      <c r="D764">
        <v>3</v>
      </c>
      <c r="E764" t="s">
        <v>26</v>
      </c>
      <c r="F764" t="s">
        <v>17</v>
      </c>
      <c r="G764" s="3">
        <v>98</v>
      </c>
      <c r="H764" s="3">
        <v>98.33</v>
      </c>
      <c r="I764" s="3">
        <v>9636.34</v>
      </c>
      <c r="J764" s="3">
        <v>22.49</v>
      </c>
    </row>
    <row r="765" spans="1:10" x14ac:dyDescent="0.25">
      <c r="A765" s="2">
        <v>45377</v>
      </c>
      <c r="B765">
        <v>2024</v>
      </c>
      <c r="C765" t="s">
        <v>27</v>
      </c>
      <c r="D765">
        <v>3</v>
      </c>
      <c r="E765" t="s">
        <v>26</v>
      </c>
      <c r="F765" t="s">
        <v>18</v>
      </c>
      <c r="G765" s="3">
        <v>405</v>
      </c>
      <c r="H765" s="3">
        <v>44.03</v>
      </c>
      <c r="I765" s="3">
        <v>17832.150000000001</v>
      </c>
      <c r="J765" s="3">
        <v>-11.78</v>
      </c>
    </row>
    <row r="766" spans="1:10" x14ac:dyDescent="0.25">
      <c r="A766" s="2">
        <v>45377</v>
      </c>
      <c r="B766">
        <v>2024</v>
      </c>
      <c r="C766" t="s">
        <v>27</v>
      </c>
      <c r="D766">
        <v>3</v>
      </c>
      <c r="E766" t="s">
        <v>26</v>
      </c>
      <c r="F766" t="s">
        <v>19</v>
      </c>
      <c r="G766" s="3">
        <v>792</v>
      </c>
      <c r="H766" s="3">
        <v>182.7</v>
      </c>
      <c r="I766" s="3">
        <v>144698.4</v>
      </c>
      <c r="J766" s="3">
        <v>21.38</v>
      </c>
    </row>
    <row r="767" spans="1:10" x14ac:dyDescent="0.25">
      <c r="A767" s="2">
        <v>45377</v>
      </c>
      <c r="B767">
        <v>2024</v>
      </c>
      <c r="C767" t="s">
        <v>27</v>
      </c>
      <c r="D767">
        <v>3</v>
      </c>
      <c r="E767" t="s">
        <v>26</v>
      </c>
      <c r="F767" t="s">
        <v>20</v>
      </c>
      <c r="G767" s="3">
        <v>362</v>
      </c>
      <c r="H767" s="3">
        <v>21.27</v>
      </c>
      <c r="I767" s="3">
        <v>7699.74</v>
      </c>
      <c r="J767" s="3">
        <v>-12.71</v>
      </c>
    </row>
    <row r="768" spans="1:10" x14ac:dyDescent="0.25">
      <c r="A768" s="2">
        <v>45377</v>
      </c>
      <c r="B768">
        <v>2024</v>
      </c>
      <c r="C768" t="s">
        <v>27</v>
      </c>
      <c r="D768">
        <v>3</v>
      </c>
      <c r="E768" t="s">
        <v>26</v>
      </c>
      <c r="F768" t="s">
        <v>21</v>
      </c>
      <c r="G768" s="3">
        <v>735</v>
      </c>
      <c r="H768" s="3">
        <v>129.84</v>
      </c>
      <c r="I768" s="3">
        <v>95432.4</v>
      </c>
      <c r="J768" s="3">
        <v>-9.59</v>
      </c>
    </row>
    <row r="769" spans="1:10" x14ac:dyDescent="0.25">
      <c r="A769" s="2">
        <v>45377</v>
      </c>
      <c r="B769">
        <v>2024</v>
      </c>
      <c r="C769" t="s">
        <v>27</v>
      </c>
      <c r="D769">
        <v>3</v>
      </c>
      <c r="E769" t="s">
        <v>11</v>
      </c>
      <c r="F769" t="s">
        <v>25</v>
      </c>
      <c r="G769" s="3">
        <v>651</v>
      </c>
      <c r="H769" s="3">
        <v>125.8</v>
      </c>
      <c r="I769" s="3">
        <v>81895.8</v>
      </c>
      <c r="J769" s="3">
        <v>-7.62</v>
      </c>
    </row>
    <row r="770" spans="1:10" x14ac:dyDescent="0.25">
      <c r="A770" s="2">
        <v>45407</v>
      </c>
      <c r="B770">
        <v>2024</v>
      </c>
      <c r="C770" t="s">
        <v>28</v>
      </c>
      <c r="D770">
        <v>4</v>
      </c>
      <c r="E770" t="s">
        <v>13</v>
      </c>
      <c r="F770" t="s">
        <v>21</v>
      </c>
      <c r="G770" s="3">
        <v>326</v>
      </c>
      <c r="H770" s="3">
        <v>40.33</v>
      </c>
      <c r="I770" s="3">
        <v>13147.58</v>
      </c>
      <c r="J770" s="3">
        <v>-11.51</v>
      </c>
    </row>
    <row r="771" spans="1:10" x14ac:dyDescent="0.25">
      <c r="A771" s="2">
        <v>45407</v>
      </c>
      <c r="B771">
        <v>2024</v>
      </c>
      <c r="C771" t="s">
        <v>28</v>
      </c>
      <c r="D771">
        <v>4</v>
      </c>
      <c r="E771" t="s">
        <v>13</v>
      </c>
      <c r="F771" t="s">
        <v>20</v>
      </c>
      <c r="G771" s="3">
        <v>180</v>
      </c>
      <c r="H771" s="3">
        <v>178.37</v>
      </c>
      <c r="I771" s="3">
        <v>32106.6</v>
      </c>
      <c r="J771" s="3">
        <v>6.02</v>
      </c>
    </row>
    <row r="772" spans="1:10" x14ac:dyDescent="0.25">
      <c r="A772" s="2">
        <v>45407</v>
      </c>
      <c r="B772">
        <v>2024</v>
      </c>
      <c r="C772" t="s">
        <v>28</v>
      </c>
      <c r="D772">
        <v>4</v>
      </c>
      <c r="E772" t="s">
        <v>13</v>
      </c>
      <c r="F772" t="s">
        <v>19</v>
      </c>
      <c r="G772" s="3">
        <v>506</v>
      </c>
      <c r="H772" s="3">
        <v>84.4</v>
      </c>
      <c r="I772" s="3">
        <v>42706.400000000001</v>
      </c>
      <c r="J772" s="3">
        <v>4.7699999999999996</v>
      </c>
    </row>
    <row r="773" spans="1:10" x14ac:dyDescent="0.25">
      <c r="A773" s="2">
        <v>45407</v>
      </c>
      <c r="B773">
        <v>2024</v>
      </c>
      <c r="C773" t="s">
        <v>28</v>
      </c>
      <c r="D773">
        <v>4</v>
      </c>
      <c r="E773" t="s">
        <v>13</v>
      </c>
      <c r="F773" t="s">
        <v>18</v>
      </c>
      <c r="G773" s="3">
        <v>426</v>
      </c>
      <c r="H773" s="3">
        <v>104.81</v>
      </c>
      <c r="I773" s="3">
        <v>44649.06</v>
      </c>
      <c r="J773" s="3">
        <v>17.87</v>
      </c>
    </row>
    <row r="774" spans="1:10" x14ac:dyDescent="0.25">
      <c r="A774" s="2">
        <v>45407</v>
      </c>
      <c r="B774">
        <v>2024</v>
      </c>
      <c r="C774" t="s">
        <v>28</v>
      </c>
      <c r="D774">
        <v>4</v>
      </c>
      <c r="E774" t="s">
        <v>13</v>
      </c>
      <c r="F774" t="s">
        <v>24</v>
      </c>
      <c r="G774" s="3">
        <v>689</v>
      </c>
      <c r="H774" s="3">
        <v>22.27</v>
      </c>
      <c r="I774" s="3">
        <v>15344.03</v>
      </c>
      <c r="J774" s="3">
        <v>7.39</v>
      </c>
    </row>
    <row r="775" spans="1:10" x14ac:dyDescent="0.25">
      <c r="A775" s="2">
        <v>45407</v>
      </c>
      <c r="B775">
        <v>2024</v>
      </c>
      <c r="C775" t="s">
        <v>28</v>
      </c>
      <c r="D775">
        <v>4</v>
      </c>
      <c r="E775" t="s">
        <v>13</v>
      </c>
      <c r="F775" t="s">
        <v>16</v>
      </c>
      <c r="G775" s="3">
        <v>750</v>
      </c>
      <c r="H775" s="3">
        <v>80.63</v>
      </c>
      <c r="I775" s="3">
        <v>60472.5</v>
      </c>
      <c r="J775" s="3">
        <v>-3.14</v>
      </c>
    </row>
    <row r="776" spans="1:10" x14ac:dyDescent="0.25">
      <c r="A776" s="2">
        <v>45407</v>
      </c>
      <c r="B776">
        <v>2024</v>
      </c>
      <c r="C776" t="s">
        <v>28</v>
      </c>
      <c r="D776">
        <v>4</v>
      </c>
      <c r="E776" t="s">
        <v>13</v>
      </c>
      <c r="F776" t="s">
        <v>15</v>
      </c>
      <c r="G776" s="3">
        <v>715</v>
      </c>
      <c r="H776" s="3">
        <v>34.29</v>
      </c>
      <c r="I776" s="3">
        <v>24517.35</v>
      </c>
      <c r="J776" s="3">
        <v>14.26</v>
      </c>
    </row>
    <row r="777" spans="1:10" x14ac:dyDescent="0.25">
      <c r="A777" s="2">
        <v>45407</v>
      </c>
      <c r="B777">
        <v>2024</v>
      </c>
      <c r="C777" t="s">
        <v>28</v>
      </c>
      <c r="D777">
        <v>4</v>
      </c>
      <c r="E777" t="s">
        <v>13</v>
      </c>
      <c r="F777" t="s">
        <v>14</v>
      </c>
      <c r="G777" s="3">
        <v>402</v>
      </c>
      <c r="H777" s="3">
        <v>25.29</v>
      </c>
      <c r="I777" s="3">
        <v>10166.58</v>
      </c>
      <c r="J777" s="3">
        <v>17.920000000000002</v>
      </c>
    </row>
    <row r="778" spans="1:10" x14ac:dyDescent="0.25">
      <c r="A778" s="2">
        <v>45407</v>
      </c>
      <c r="B778">
        <v>2024</v>
      </c>
      <c r="C778" t="s">
        <v>28</v>
      </c>
      <c r="D778">
        <v>4</v>
      </c>
      <c r="E778" t="s">
        <v>13</v>
      </c>
      <c r="F778" t="s">
        <v>22</v>
      </c>
      <c r="G778" s="3">
        <v>466</v>
      </c>
      <c r="H778" s="3">
        <v>63.18</v>
      </c>
      <c r="I778" s="3">
        <v>29441.88</v>
      </c>
      <c r="J778" s="3">
        <v>-9.32</v>
      </c>
    </row>
    <row r="779" spans="1:10" x14ac:dyDescent="0.25">
      <c r="A779" s="2">
        <v>45407</v>
      </c>
      <c r="B779">
        <v>2024</v>
      </c>
      <c r="C779" t="s">
        <v>28</v>
      </c>
      <c r="D779">
        <v>4</v>
      </c>
      <c r="E779" t="s">
        <v>13</v>
      </c>
      <c r="F779" t="s">
        <v>17</v>
      </c>
      <c r="G779" s="3">
        <v>535</v>
      </c>
      <c r="H779" s="3">
        <v>117.34</v>
      </c>
      <c r="I779" s="3">
        <v>62776.9</v>
      </c>
      <c r="J779" s="3">
        <v>13.41</v>
      </c>
    </row>
    <row r="780" spans="1:10" x14ac:dyDescent="0.25">
      <c r="A780" s="2">
        <v>45407</v>
      </c>
      <c r="B780">
        <v>2024</v>
      </c>
      <c r="C780" t="s">
        <v>28</v>
      </c>
      <c r="D780">
        <v>4</v>
      </c>
      <c r="E780" t="s">
        <v>13</v>
      </c>
      <c r="F780" t="s">
        <v>25</v>
      </c>
      <c r="G780" s="3">
        <v>90</v>
      </c>
      <c r="H780" s="3">
        <v>153.13999999999999</v>
      </c>
      <c r="I780" s="3">
        <v>13782.6</v>
      </c>
      <c r="J780" s="3">
        <v>-7.35</v>
      </c>
    </row>
    <row r="781" spans="1:10" x14ac:dyDescent="0.25">
      <c r="A781" s="2">
        <v>45407</v>
      </c>
      <c r="B781">
        <v>2024</v>
      </c>
      <c r="C781" t="s">
        <v>28</v>
      </c>
      <c r="D781">
        <v>4</v>
      </c>
      <c r="E781" t="s">
        <v>23</v>
      </c>
      <c r="F781" t="s">
        <v>16</v>
      </c>
      <c r="G781" s="3">
        <v>96</v>
      </c>
      <c r="H781" s="3">
        <v>51.48</v>
      </c>
      <c r="I781" s="3">
        <v>4942.08</v>
      </c>
      <c r="J781" s="3">
        <v>19.23</v>
      </c>
    </row>
    <row r="782" spans="1:10" x14ac:dyDescent="0.25">
      <c r="A782" s="2">
        <v>45407</v>
      </c>
      <c r="B782">
        <v>2024</v>
      </c>
      <c r="C782" t="s">
        <v>28</v>
      </c>
      <c r="D782">
        <v>4</v>
      </c>
      <c r="E782" t="s">
        <v>23</v>
      </c>
      <c r="F782" t="s">
        <v>24</v>
      </c>
      <c r="G782" s="3">
        <v>711</v>
      </c>
      <c r="H782" s="3">
        <v>152.85</v>
      </c>
      <c r="I782" s="3">
        <v>108676.35</v>
      </c>
      <c r="J782" s="3">
        <v>17.25</v>
      </c>
    </row>
    <row r="783" spans="1:10" x14ac:dyDescent="0.25">
      <c r="A783" s="2">
        <v>45407</v>
      </c>
      <c r="B783">
        <v>2024</v>
      </c>
      <c r="C783" t="s">
        <v>28</v>
      </c>
      <c r="D783">
        <v>4</v>
      </c>
      <c r="E783" t="s">
        <v>23</v>
      </c>
      <c r="F783" t="s">
        <v>14</v>
      </c>
      <c r="G783" s="3">
        <v>338</v>
      </c>
      <c r="H783" s="3">
        <v>42.73</v>
      </c>
      <c r="I783" s="3">
        <v>14442.74</v>
      </c>
      <c r="J783" s="3">
        <v>12.05</v>
      </c>
    </row>
    <row r="784" spans="1:10" x14ac:dyDescent="0.25">
      <c r="A784" s="2">
        <v>45407</v>
      </c>
      <c r="B784">
        <v>2024</v>
      </c>
      <c r="C784" t="s">
        <v>28</v>
      </c>
      <c r="D784">
        <v>4</v>
      </c>
      <c r="E784" t="s">
        <v>23</v>
      </c>
      <c r="F784" t="s">
        <v>15</v>
      </c>
      <c r="G784" s="3">
        <v>115</v>
      </c>
      <c r="H784" s="3">
        <v>76.69</v>
      </c>
      <c r="I784" s="3">
        <v>8819.35</v>
      </c>
      <c r="J784" s="3">
        <v>-14.85</v>
      </c>
    </row>
    <row r="785" spans="1:10" x14ac:dyDescent="0.25">
      <c r="A785" s="2">
        <v>45407</v>
      </c>
      <c r="B785">
        <v>2024</v>
      </c>
      <c r="C785" t="s">
        <v>28</v>
      </c>
      <c r="D785">
        <v>4</v>
      </c>
      <c r="E785" t="s">
        <v>23</v>
      </c>
      <c r="F785" t="s">
        <v>17</v>
      </c>
      <c r="G785" s="3">
        <v>173</v>
      </c>
      <c r="H785" s="3">
        <v>198.51</v>
      </c>
      <c r="I785" s="3">
        <v>34342.230000000003</v>
      </c>
      <c r="J785" s="3">
        <v>-12.09</v>
      </c>
    </row>
    <row r="786" spans="1:10" x14ac:dyDescent="0.25">
      <c r="A786" s="2">
        <v>45407</v>
      </c>
      <c r="B786">
        <v>2024</v>
      </c>
      <c r="C786" t="s">
        <v>28</v>
      </c>
      <c r="D786">
        <v>4</v>
      </c>
      <c r="E786" t="s">
        <v>23</v>
      </c>
      <c r="F786" t="s">
        <v>18</v>
      </c>
      <c r="G786" s="3">
        <v>689</v>
      </c>
      <c r="H786" s="3">
        <v>135.72</v>
      </c>
      <c r="I786" s="3">
        <v>93511.08</v>
      </c>
      <c r="J786" s="3">
        <v>12.77</v>
      </c>
    </row>
    <row r="787" spans="1:10" x14ac:dyDescent="0.25">
      <c r="A787" s="2">
        <v>45407</v>
      </c>
      <c r="B787">
        <v>2024</v>
      </c>
      <c r="C787" t="s">
        <v>28</v>
      </c>
      <c r="D787">
        <v>4</v>
      </c>
      <c r="E787" t="s">
        <v>23</v>
      </c>
      <c r="F787" t="s">
        <v>19</v>
      </c>
      <c r="G787" s="3">
        <v>192</v>
      </c>
      <c r="H787" s="3">
        <v>58.28</v>
      </c>
      <c r="I787" s="3">
        <v>11189.76</v>
      </c>
      <c r="J787" s="3">
        <v>-13.67</v>
      </c>
    </row>
    <row r="788" spans="1:10" x14ac:dyDescent="0.25">
      <c r="A788" s="2">
        <v>45407</v>
      </c>
      <c r="B788">
        <v>2024</v>
      </c>
      <c r="C788" t="s">
        <v>28</v>
      </c>
      <c r="D788">
        <v>4</v>
      </c>
      <c r="E788" t="s">
        <v>23</v>
      </c>
      <c r="F788" t="s">
        <v>20</v>
      </c>
      <c r="G788" s="3">
        <v>678</v>
      </c>
      <c r="H788" s="3">
        <v>93.5</v>
      </c>
      <c r="I788" s="3">
        <v>63393</v>
      </c>
      <c r="J788" s="3">
        <v>15.37</v>
      </c>
    </row>
    <row r="789" spans="1:10" x14ac:dyDescent="0.25">
      <c r="A789" s="2">
        <v>45407</v>
      </c>
      <c r="B789">
        <v>2024</v>
      </c>
      <c r="C789" t="s">
        <v>28</v>
      </c>
      <c r="D789">
        <v>4</v>
      </c>
      <c r="E789" t="s">
        <v>23</v>
      </c>
      <c r="F789" t="s">
        <v>21</v>
      </c>
      <c r="G789" s="3">
        <v>509</v>
      </c>
      <c r="H789" s="3">
        <v>61.9</v>
      </c>
      <c r="I789" s="3">
        <v>31507.1</v>
      </c>
      <c r="J789" s="3">
        <v>17.3</v>
      </c>
    </row>
    <row r="790" spans="1:10" x14ac:dyDescent="0.25">
      <c r="A790" s="2">
        <v>45407</v>
      </c>
      <c r="B790">
        <v>2024</v>
      </c>
      <c r="C790" t="s">
        <v>28</v>
      </c>
      <c r="D790">
        <v>4</v>
      </c>
      <c r="E790" t="s">
        <v>23</v>
      </c>
      <c r="F790" t="s">
        <v>22</v>
      </c>
      <c r="G790" s="3">
        <v>256</v>
      </c>
      <c r="H790" s="3">
        <v>66.849999999999994</v>
      </c>
      <c r="I790" s="3">
        <v>17113.599999999999</v>
      </c>
      <c r="J790" s="3">
        <v>21.29</v>
      </c>
    </row>
    <row r="791" spans="1:10" x14ac:dyDescent="0.25">
      <c r="A791" s="2">
        <v>45407</v>
      </c>
      <c r="B791">
        <v>2024</v>
      </c>
      <c r="C791" t="s">
        <v>28</v>
      </c>
      <c r="D791">
        <v>4</v>
      </c>
      <c r="E791" t="s">
        <v>13</v>
      </c>
      <c r="F791" t="s">
        <v>12</v>
      </c>
      <c r="G791" s="3">
        <v>151</v>
      </c>
      <c r="H791" s="3">
        <v>196.36</v>
      </c>
      <c r="I791" s="3">
        <v>29650.36</v>
      </c>
      <c r="J791" s="3">
        <v>11.25</v>
      </c>
    </row>
    <row r="792" spans="1:10" x14ac:dyDescent="0.25">
      <c r="A792" s="2">
        <v>45407</v>
      </c>
      <c r="B792">
        <v>2024</v>
      </c>
      <c r="C792" t="s">
        <v>28</v>
      </c>
      <c r="D792">
        <v>4</v>
      </c>
      <c r="E792" t="s">
        <v>23</v>
      </c>
      <c r="F792" t="s">
        <v>12</v>
      </c>
      <c r="G792" s="3">
        <v>124</v>
      </c>
      <c r="H792" s="3">
        <v>137.21</v>
      </c>
      <c r="I792" s="3">
        <v>17014.04</v>
      </c>
      <c r="J792" s="3">
        <v>9.84</v>
      </c>
    </row>
    <row r="793" spans="1:10" x14ac:dyDescent="0.25">
      <c r="A793" s="2">
        <v>45407</v>
      </c>
      <c r="B793">
        <v>2024</v>
      </c>
      <c r="C793" t="s">
        <v>28</v>
      </c>
      <c r="D793">
        <v>4</v>
      </c>
      <c r="E793" t="s">
        <v>23</v>
      </c>
      <c r="F793" t="s">
        <v>25</v>
      </c>
      <c r="G793" s="3">
        <v>300</v>
      </c>
      <c r="H793" s="3">
        <v>20.03</v>
      </c>
      <c r="I793" s="3">
        <v>6009</v>
      </c>
      <c r="J793" s="3">
        <v>-8.24</v>
      </c>
    </row>
    <row r="794" spans="1:10" x14ac:dyDescent="0.25">
      <c r="A794" s="2">
        <v>45407</v>
      </c>
      <c r="B794">
        <v>2024</v>
      </c>
      <c r="C794" t="s">
        <v>28</v>
      </c>
      <c r="D794">
        <v>4</v>
      </c>
      <c r="E794" t="s">
        <v>26</v>
      </c>
      <c r="F794" t="s">
        <v>25</v>
      </c>
      <c r="G794" s="3">
        <v>582</v>
      </c>
      <c r="H794" s="3">
        <v>150.53</v>
      </c>
      <c r="I794" s="3">
        <v>87608.46</v>
      </c>
      <c r="J794" s="3">
        <v>-2.08</v>
      </c>
    </row>
    <row r="795" spans="1:10" x14ac:dyDescent="0.25">
      <c r="A795" s="2">
        <v>45407</v>
      </c>
      <c r="B795">
        <v>2024</v>
      </c>
      <c r="C795" t="s">
        <v>28</v>
      </c>
      <c r="D795">
        <v>4</v>
      </c>
      <c r="E795" t="s">
        <v>26</v>
      </c>
      <c r="F795" t="s">
        <v>21</v>
      </c>
      <c r="G795" s="3">
        <v>573</v>
      </c>
      <c r="H795" s="3">
        <v>153.15</v>
      </c>
      <c r="I795" s="3">
        <v>87754.95</v>
      </c>
      <c r="J795" s="3">
        <v>-2.21</v>
      </c>
    </row>
    <row r="796" spans="1:10" x14ac:dyDescent="0.25">
      <c r="A796" s="2">
        <v>45407</v>
      </c>
      <c r="B796">
        <v>2024</v>
      </c>
      <c r="C796" t="s">
        <v>28</v>
      </c>
      <c r="D796">
        <v>4</v>
      </c>
      <c r="E796" t="s">
        <v>26</v>
      </c>
      <c r="F796" t="s">
        <v>22</v>
      </c>
      <c r="G796" s="3">
        <v>178</v>
      </c>
      <c r="H796" s="3">
        <v>95.2</v>
      </c>
      <c r="I796" s="3">
        <v>16945.599999999999</v>
      </c>
      <c r="J796" s="3">
        <v>24.36</v>
      </c>
    </row>
    <row r="797" spans="1:10" x14ac:dyDescent="0.25">
      <c r="A797" s="2">
        <v>45407</v>
      </c>
      <c r="B797">
        <v>2024</v>
      </c>
      <c r="C797" t="s">
        <v>28</v>
      </c>
      <c r="D797">
        <v>4</v>
      </c>
      <c r="E797" t="s">
        <v>11</v>
      </c>
      <c r="F797" t="s">
        <v>12</v>
      </c>
      <c r="G797" s="3">
        <v>620</v>
      </c>
      <c r="H797" s="3">
        <v>102.66</v>
      </c>
      <c r="I797" s="3">
        <v>63649.2</v>
      </c>
      <c r="J797" s="3">
        <v>-12.92</v>
      </c>
    </row>
    <row r="798" spans="1:10" x14ac:dyDescent="0.25">
      <c r="A798" s="2">
        <v>45407</v>
      </c>
      <c r="B798">
        <v>2024</v>
      </c>
      <c r="C798" t="s">
        <v>28</v>
      </c>
      <c r="D798">
        <v>4</v>
      </c>
      <c r="E798" t="s">
        <v>11</v>
      </c>
      <c r="F798" t="s">
        <v>24</v>
      </c>
      <c r="G798" s="3">
        <v>610</v>
      </c>
      <c r="H798" s="3">
        <v>56.25</v>
      </c>
      <c r="I798" s="3">
        <v>34312.5</v>
      </c>
      <c r="J798" s="3">
        <v>-4.66</v>
      </c>
    </row>
    <row r="799" spans="1:10" x14ac:dyDescent="0.25">
      <c r="A799" s="2">
        <v>45407</v>
      </c>
      <c r="B799">
        <v>2024</v>
      </c>
      <c r="C799" t="s">
        <v>28</v>
      </c>
      <c r="D799">
        <v>4</v>
      </c>
      <c r="E799" t="s">
        <v>11</v>
      </c>
      <c r="F799" t="s">
        <v>14</v>
      </c>
      <c r="G799" s="3">
        <v>581</v>
      </c>
      <c r="H799" s="3">
        <v>118.07</v>
      </c>
      <c r="I799" s="3">
        <v>68598.67</v>
      </c>
      <c r="J799" s="3">
        <v>15.34</v>
      </c>
    </row>
    <row r="800" spans="1:10" x14ac:dyDescent="0.25">
      <c r="A800" s="2">
        <v>45407</v>
      </c>
      <c r="B800">
        <v>2024</v>
      </c>
      <c r="C800" t="s">
        <v>28</v>
      </c>
      <c r="D800">
        <v>4</v>
      </c>
      <c r="E800" t="s">
        <v>11</v>
      </c>
      <c r="F800" t="s">
        <v>15</v>
      </c>
      <c r="G800" s="3">
        <v>263</v>
      </c>
      <c r="H800" s="3">
        <v>23.23</v>
      </c>
      <c r="I800" s="3">
        <v>6109.49</v>
      </c>
      <c r="J800" s="3">
        <v>-9.9499999999999993</v>
      </c>
    </row>
    <row r="801" spans="1:10" x14ac:dyDescent="0.25">
      <c r="A801" s="2">
        <v>45407</v>
      </c>
      <c r="B801">
        <v>2024</v>
      </c>
      <c r="C801" t="s">
        <v>28</v>
      </c>
      <c r="D801">
        <v>4</v>
      </c>
      <c r="E801" t="s">
        <v>11</v>
      </c>
      <c r="F801" t="s">
        <v>16</v>
      </c>
      <c r="G801" s="3">
        <v>128</v>
      </c>
      <c r="H801" s="3">
        <v>178.32</v>
      </c>
      <c r="I801" s="3">
        <v>22824.959999999999</v>
      </c>
      <c r="J801" s="3">
        <v>19.82</v>
      </c>
    </row>
    <row r="802" spans="1:10" x14ac:dyDescent="0.25">
      <c r="A802" s="2">
        <v>45407</v>
      </c>
      <c r="B802">
        <v>2024</v>
      </c>
      <c r="C802" t="s">
        <v>28</v>
      </c>
      <c r="D802">
        <v>4</v>
      </c>
      <c r="E802" t="s">
        <v>11</v>
      </c>
      <c r="F802" t="s">
        <v>18</v>
      </c>
      <c r="G802" s="3">
        <v>75</v>
      </c>
      <c r="H802" s="3">
        <v>120.44</v>
      </c>
      <c r="I802" s="3">
        <v>9033</v>
      </c>
      <c r="J802" s="3">
        <v>7.1</v>
      </c>
    </row>
    <row r="803" spans="1:10" x14ac:dyDescent="0.25">
      <c r="A803" s="2">
        <v>45407</v>
      </c>
      <c r="B803">
        <v>2024</v>
      </c>
      <c r="C803" t="s">
        <v>28</v>
      </c>
      <c r="D803">
        <v>4</v>
      </c>
      <c r="E803" t="s">
        <v>11</v>
      </c>
      <c r="F803" t="s">
        <v>19</v>
      </c>
      <c r="G803" s="3">
        <v>303</v>
      </c>
      <c r="H803" s="3">
        <v>81.86</v>
      </c>
      <c r="I803" s="3">
        <v>24803.58</v>
      </c>
      <c r="J803" s="3">
        <v>-3.7</v>
      </c>
    </row>
    <row r="804" spans="1:10" x14ac:dyDescent="0.25">
      <c r="A804" s="2">
        <v>45407</v>
      </c>
      <c r="B804">
        <v>2024</v>
      </c>
      <c r="C804" t="s">
        <v>28</v>
      </c>
      <c r="D804">
        <v>4</v>
      </c>
      <c r="E804" t="s">
        <v>11</v>
      </c>
      <c r="F804" t="s">
        <v>20</v>
      </c>
      <c r="G804" s="3">
        <v>603</v>
      </c>
      <c r="H804" s="3">
        <v>109.61</v>
      </c>
      <c r="I804" s="3">
        <v>66094.83</v>
      </c>
      <c r="J804" s="3">
        <v>-10.78</v>
      </c>
    </row>
    <row r="805" spans="1:10" x14ac:dyDescent="0.25">
      <c r="A805" s="2">
        <v>45407</v>
      </c>
      <c r="B805">
        <v>2024</v>
      </c>
      <c r="C805" t="s">
        <v>28</v>
      </c>
      <c r="D805">
        <v>4</v>
      </c>
      <c r="E805" t="s">
        <v>11</v>
      </c>
      <c r="F805" t="s">
        <v>21</v>
      </c>
      <c r="G805" s="3">
        <v>485</v>
      </c>
      <c r="H805" s="3">
        <v>101.31</v>
      </c>
      <c r="I805" s="3">
        <v>49135.35</v>
      </c>
      <c r="J805" s="3">
        <v>0.9</v>
      </c>
    </row>
    <row r="806" spans="1:10" x14ac:dyDescent="0.25">
      <c r="A806" s="2">
        <v>45407</v>
      </c>
      <c r="B806">
        <v>2024</v>
      </c>
      <c r="C806" t="s">
        <v>28</v>
      </c>
      <c r="D806">
        <v>4</v>
      </c>
      <c r="E806" t="s">
        <v>11</v>
      </c>
      <c r="F806" t="s">
        <v>17</v>
      </c>
      <c r="G806" s="3">
        <v>430</v>
      </c>
      <c r="H806" s="3">
        <v>101.22</v>
      </c>
      <c r="I806" s="3">
        <v>43524.6</v>
      </c>
      <c r="J806" s="3">
        <v>24.4</v>
      </c>
    </row>
    <row r="807" spans="1:10" x14ac:dyDescent="0.25">
      <c r="A807" s="2">
        <v>45407</v>
      </c>
      <c r="B807">
        <v>2024</v>
      </c>
      <c r="C807" t="s">
        <v>28</v>
      </c>
      <c r="D807">
        <v>4</v>
      </c>
      <c r="E807" t="s">
        <v>11</v>
      </c>
      <c r="F807" t="s">
        <v>25</v>
      </c>
      <c r="G807" s="3">
        <v>553</v>
      </c>
      <c r="H807" s="3">
        <v>53.61</v>
      </c>
      <c r="I807" s="3">
        <v>29646.33</v>
      </c>
      <c r="J807" s="3">
        <v>-11.24</v>
      </c>
    </row>
    <row r="808" spans="1:10" x14ac:dyDescent="0.25">
      <c r="A808" s="2">
        <v>45407</v>
      </c>
      <c r="B808">
        <v>2024</v>
      </c>
      <c r="C808" t="s">
        <v>28</v>
      </c>
      <c r="D808">
        <v>4</v>
      </c>
      <c r="E808" t="s">
        <v>11</v>
      </c>
      <c r="F808" t="s">
        <v>22</v>
      </c>
      <c r="G808" s="3">
        <v>476</v>
      </c>
      <c r="H808" s="3">
        <v>159.61000000000001</v>
      </c>
      <c r="I808" s="3">
        <v>75974.36</v>
      </c>
      <c r="J808" s="3">
        <v>23.58</v>
      </c>
    </row>
    <row r="809" spans="1:10" x14ac:dyDescent="0.25">
      <c r="A809" s="2">
        <v>45407</v>
      </c>
      <c r="B809">
        <v>2024</v>
      </c>
      <c r="C809" t="s">
        <v>28</v>
      </c>
      <c r="D809">
        <v>4</v>
      </c>
      <c r="E809" t="s">
        <v>26</v>
      </c>
      <c r="F809" t="s">
        <v>19</v>
      </c>
      <c r="G809" s="3">
        <v>668</v>
      </c>
      <c r="H809" s="3">
        <v>76.37</v>
      </c>
      <c r="I809" s="3">
        <v>51015.16</v>
      </c>
      <c r="J809" s="3">
        <v>16.940000000000001</v>
      </c>
    </row>
    <row r="810" spans="1:10" x14ac:dyDescent="0.25">
      <c r="A810" s="2">
        <v>45407</v>
      </c>
      <c r="B810">
        <v>2024</v>
      </c>
      <c r="C810" t="s">
        <v>28</v>
      </c>
      <c r="D810">
        <v>4</v>
      </c>
      <c r="E810" t="s">
        <v>26</v>
      </c>
      <c r="F810" t="s">
        <v>18</v>
      </c>
      <c r="G810" s="3">
        <v>569</v>
      </c>
      <c r="H810" s="3">
        <v>180.92</v>
      </c>
      <c r="I810" s="3">
        <v>102943.48</v>
      </c>
      <c r="J810" s="3">
        <v>11.17</v>
      </c>
    </row>
    <row r="811" spans="1:10" x14ac:dyDescent="0.25">
      <c r="A811" s="2">
        <v>45407</v>
      </c>
      <c r="B811">
        <v>2024</v>
      </c>
      <c r="C811" t="s">
        <v>28</v>
      </c>
      <c r="D811">
        <v>4</v>
      </c>
      <c r="E811" t="s">
        <v>26</v>
      </c>
      <c r="F811" t="s">
        <v>17</v>
      </c>
      <c r="G811" s="3">
        <v>89</v>
      </c>
      <c r="H811" s="3">
        <v>111.27</v>
      </c>
      <c r="I811" s="3">
        <v>9903.0300000000007</v>
      </c>
      <c r="J811" s="3">
        <v>8.92</v>
      </c>
    </row>
    <row r="812" spans="1:10" x14ac:dyDescent="0.25">
      <c r="A812" s="2">
        <v>45407</v>
      </c>
      <c r="B812">
        <v>2024</v>
      </c>
      <c r="C812" t="s">
        <v>28</v>
      </c>
      <c r="D812">
        <v>4</v>
      </c>
      <c r="E812" t="s">
        <v>26</v>
      </c>
      <c r="F812" t="s">
        <v>16</v>
      </c>
      <c r="G812" s="3">
        <v>436</v>
      </c>
      <c r="H812" s="3">
        <v>85.36</v>
      </c>
      <c r="I812" s="3">
        <v>37216.959999999999</v>
      </c>
      <c r="J812" s="3">
        <v>20.89</v>
      </c>
    </row>
    <row r="813" spans="1:10" x14ac:dyDescent="0.25">
      <c r="A813" s="2">
        <v>45407</v>
      </c>
      <c r="B813">
        <v>2024</v>
      </c>
      <c r="C813" t="s">
        <v>28</v>
      </c>
      <c r="D813">
        <v>4</v>
      </c>
      <c r="E813" t="s">
        <v>26</v>
      </c>
      <c r="F813" t="s">
        <v>20</v>
      </c>
      <c r="G813" s="3">
        <v>415</v>
      </c>
      <c r="H813" s="3">
        <v>35.020000000000003</v>
      </c>
      <c r="I813" s="3">
        <v>14533.3</v>
      </c>
      <c r="J813" s="3">
        <v>20.3</v>
      </c>
    </row>
    <row r="814" spans="1:10" x14ac:dyDescent="0.25">
      <c r="A814" s="2">
        <v>45407</v>
      </c>
      <c r="B814">
        <v>2024</v>
      </c>
      <c r="C814" t="s">
        <v>28</v>
      </c>
      <c r="D814">
        <v>4</v>
      </c>
      <c r="E814" t="s">
        <v>26</v>
      </c>
      <c r="F814" t="s">
        <v>14</v>
      </c>
      <c r="G814" s="3">
        <v>287</v>
      </c>
      <c r="H814" s="3">
        <v>115.95</v>
      </c>
      <c r="I814" s="3">
        <v>33277.65</v>
      </c>
      <c r="J814" s="3">
        <v>-8.68</v>
      </c>
    </row>
    <row r="815" spans="1:10" x14ac:dyDescent="0.25">
      <c r="A815" s="2">
        <v>45407</v>
      </c>
      <c r="B815">
        <v>2024</v>
      </c>
      <c r="C815" t="s">
        <v>28</v>
      </c>
      <c r="D815">
        <v>4</v>
      </c>
      <c r="E815" t="s">
        <v>26</v>
      </c>
      <c r="F815" t="s">
        <v>24</v>
      </c>
      <c r="G815" s="3">
        <v>646</v>
      </c>
      <c r="H815" s="3">
        <v>76.22</v>
      </c>
      <c r="I815" s="3">
        <v>49238.12</v>
      </c>
      <c r="J815" s="3">
        <v>10.71</v>
      </c>
    </row>
    <row r="816" spans="1:10" x14ac:dyDescent="0.25">
      <c r="A816" s="2">
        <v>45407</v>
      </c>
      <c r="B816">
        <v>2024</v>
      </c>
      <c r="C816" t="s">
        <v>28</v>
      </c>
      <c r="D816">
        <v>4</v>
      </c>
      <c r="E816" t="s">
        <v>26</v>
      </c>
      <c r="F816" t="s">
        <v>12</v>
      </c>
      <c r="G816" s="3">
        <v>557</v>
      </c>
      <c r="H816" s="3">
        <v>162.71</v>
      </c>
      <c r="I816" s="3">
        <v>90629.47</v>
      </c>
      <c r="J816" s="3">
        <v>8.1</v>
      </c>
    </row>
    <row r="817" spans="1:10" x14ac:dyDescent="0.25">
      <c r="A817" s="2">
        <v>45407</v>
      </c>
      <c r="B817">
        <v>2024</v>
      </c>
      <c r="C817" t="s">
        <v>28</v>
      </c>
      <c r="D817">
        <v>4</v>
      </c>
      <c r="E817" t="s">
        <v>26</v>
      </c>
      <c r="F817" t="s">
        <v>15</v>
      </c>
      <c r="G817" s="3">
        <v>517</v>
      </c>
      <c r="H817" s="3">
        <v>120.41</v>
      </c>
      <c r="I817" s="3">
        <v>62251.97</v>
      </c>
      <c r="J817" s="3">
        <v>-8.36</v>
      </c>
    </row>
    <row r="818" spans="1:10" x14ac:dyDescent="0.25">
      <c r="A818" s="2">
        <v>45437</v>
      </c>
      <c r="B818">
        <v>2024</v>
      </c>
      <c r="C818" t="s">
        <v>29</v>
      </c>
      <c r="D818">
        <v>5</v>
      </c>
      <c r="E818" t="s">
        <v>13</v>
      </c>
      <c r="F818" t="s">
        <v>22</v>
      </c>
      <c r="G818" s="3">
        <v>697</v>
      </c>
      <c r="H818" s="3">
        <v>62.99</v>
      </c>
      <c r="I818" s="3">
        <v>43904.03</v>
      </c>
      <c r="J818" s="3">
        <v>3.79</v>
      </c>
    </row>
    <row r="819" spans="1:10" x14ac:dyDescent="0.25">
      <c r="A819" s="2">
        <v>45437</v>
      </c>
      <c r="B819">
        <v>2024</v>
      </c>
      <c r="C819" t="s">
        <v>29</v>
      </c>
      <c r="D819">
        <v>5</v>
      </c>
      <c r="E819" t="s">
        <v>13</v>
      </c>
      <c r="F819" t="s">
        <v>14</v>
      </c>
      <c r="G819" s="3">
        <v>281</v>
      </c>
      <c r="H819" s="3">
        <v>190.66</v>
      </c>
      <c r="I819" s="3">
        <v>53575.46</v>
      </c>
      <c r="J819" s="3">
        <v>2.81</v>
      </c>
    </row>
    <row r="820" spans="1:10" x14ac:dyDescent="0.25">
      <c r="A820" s="2">
        <v>45437</v>
      </c>
      <c r="B820">
        <v>2024</v>
      </c>
      <c r="C820" t="s">
        <v>29</v>
      </c>
      <c r="D820">
        <v>5</v>
      </c>
      <c r="E820" t="s">
        <v>13</v>
      </c>
      <c r="F820" t="s">
        <v>15</v>
      </c>
      <c r="G820" s="3">
        <v>554</v>
      </c>
      <c r="H820" s="3">
        <v>146.47</v>
      </c>
      <c r="I820" s="3">
        <v>81144.38</v>
      </c>
      <c r="J820" s="3">
        <v>-5.5</v>
      </c>
    </row>
    <row r="821" spans="1:10" x14ac:dyDescent="0.25">
      <c r="A821" s="2">
        <v>45437</v>
      </c>
      <c r="B821">
        <v>2024</v>
      </c>
      <c r="C821" t="s">
        <v>29</v>
      </c>
      <c r="D821">
        <v>5</v>
      </c>
      <c r="E821" t="s">
        <v>13</v>
      </c>
      <c r="F821" t="s">
        <v>16</v>
      </c>
      <c r="G821" s="3">
        <v>504</v>
      </c>
      <c r="H821" s="3">
        <v>43.7</v>
      </c>
      <c r="I821" s="3">
        <v>22024.799999999999</v>
      </c>
      <c r="J821" s="3">
        <v>-5.63</v>
      </c>
    </row>
    <row r="822" spans="1:10" x14ac:dyDescent="0.25">
      <c r="A822" s="2">
        <v>45437</v>
      </c>
      <c r="B822">
        <v>2024</v>
      </c>
      <c r="C822" t="s">
        <v>29</v>
      </c>
      <c r="D822">
        <v>5</v>
      </c>
      <c r="E822" t="s">
        <v>13</v>
      </c>
      <c r="F822" t="s">
        <v>17</v>
      </c>
      <c r="G822" s="3">
        <v>125</v>
      </c>
      <c r="H822" s="3">
        <v>107.78</v>
      </c>
      <c r="I822" s="3">
        <v>13472.5</v>
      </c>
      <c r="J822" s="3">
        <v>11.09</v>
      </c>
    </row>
    <row r="823" spans="1:10" x14ac:dyDescent="0.25">
      <c r="A823" s="2">
        <v>45437</v>
      </c>
      <c r="B823">
        <v>2024</v>
      </c>
      <c r="C823" t="s">
        <v>29</v>
      </c>
      <c r="D823">
        <v>5</v>
      </c>
      <c r="E823" t="s">
        <v>13</v>
      </c>
      <c r="F823" t="s">
        <v>18</v>
      </c>
      <c r="G823" s="3">
        <v>243</v>
      </c>
      <c r="H823" s="3">
        <v>68.88</v>
      </c>
      <c r="I823" s="3">
        <v>16737.84</v>
      </c>
      <c r="J823" s="3">
        <v>3.92</v>
      </c>
    </row>
    <row r="824" spans="1:10" x14ac:dyDescent="0.25">
      <c r="A824" s="2">
        <v>45437</v>
      </c>
      <c r="B824">
        <v>2024</v>
      </c>
      <c r="C824" t="s">
        <v>29</v>
      </c>
      <c r="D824">
        <v>5</v>
      </c>
      <c r="E824" t="s">
        <v>13</v>
      </c>
      <c r="F824" t="s">
        <v>19</v>
      </c>
      <c r="G824" s="3">
        <v>410</v>
      </c>
      <c r="H824" s="3">
        <v>111.13</v>
      </c>
      <c r="I824" s="3">
        <v>45563.3</v>
      </c>
      <c r="J824" s="3">
        <v>10.36</v>
      </c>
    </row>
    <row r="825" spans="1:10" x14ac:dyDescent="0.25">
      <c r="A825" s="2">
        <v>45437</v>
      </c>
      <c r="B825">
        <v>2024</v>
      </c>
      <c r="C825" t="s">
        <v>29</v>
      </c>
      <c r="D825">
        <v>5</v>
      </c>
      <c r="E825" t="s">
        <v>13</v>
      </c>
      <c r="F825" t="s">
        <v>20</v>
      </c>
      <c r="G825" s="3">
        <v>311</v>
      </c>
      <c r="H825" s="3">
        <v>180.47</v>
      </c>
      <c r="I825" s="3">
        <v>56126.17</v>
      </c>
      <c r="J825" s="3">
        <v>-14.88</v>
      </c>
    </row>
    <row r="826" spans="1:10" x14ac:dyDescent="0.25">
      <c r="A826" s="2">
        <v>45437</v>
      </c>
      <c r="B826">
        <v>2024</v>
      </c>
      <c r="C826" t="s">
        <v>29</v>
      </c>
      <c r="D826">
        <v>5</v>
      </c>
      <c r="E826" t="s">
        <v>13</v>
      </c>
      <c r="F826" t="s">
        <v>21</v>
      </c>
      <c r="G826" s="3">
        <v>622</v>
      </c>
      <c r="H826" s="3">
        <v>105.05</v>
      </c>
      <c r="I826" s="3">
        <v>65341.1</v>
      </c>
      <c r="J826" s="3">
        <v>-13.17</v>
      </c>
    </row>
    <row r="827" spans="1:10" x14ac:dyDescent="0.25">
      <c r="A827" s="2">
        <v>45437</v>
      </c>
      <c r="B827">
        <v>2024</v>
      </c>
      <c r="C827" t="s">
        <v>29</v>
      </c>
      <c r="D827">
        <v>5</v>
      </c>
      <c r="E827" t="s">
        <v>13</v>
      </c>
      <c r="F827" t="s">
        <v>25</v>
      </c>
      <c r="G827" s="3">
        <v>490</v>
      </c>
      <c r="H827" s="3">
        <v>79.64</v>
      </c>
      <c r="I827" s="3">
        <v>39023.599999999999</v>
      </c>
      <c r="J827" s="3">
        <v>4.28</v>
      </c>
    </row>
    <row r="828" spans="1:10" x14ac:dyDescent="0.25">
      <c r="A828" s="2">
        <v>45437</v>
      </c>
      <c r="B828">
        <v>2024</v>
      </c>
      <c r="C828" t="s">
        <v>29</v>
      </c>
      <c r="D828">
        <v>5</v>
      </c>
      <c r="E828" t="s">
        <v>13</v>
      </c>
      <c r="F828" t="s">
        <v>24</v>
      </c>
      <c r="G828" s="3">
        <v>708</v>
      </c>
      <c r="H828" s="3">
        <v>180.65</v>
      </c>
      <c r="I828" s="3">
        <v>127900.2</v>
      </c>
      <c r="J828" s="3">
        <v>2.74</v>
      </c>
    </row>
    <row r="829" spans="1:10" x14ac:dyDescent="0.25">
      <c r="A829" s="2">
        <v>45437</v>
      </c>
      <c r="B829">
        <v>2024</v>
      </c>
      <c r="C829" t="s">
        <v>29</v>
      </c>
      <c r="D829">
        <v>5</v>
      </c>
      <c r="E829" t="s">
        <v>23</v>
      </c>
      <c r="F829" t="s">
        <v>24</v>
      </c>
      <c r="G829" s="3">
        <v>738</v>
      </c>
      <c r="H829" s="3">
        <v>112.98</v>
      </c>
      <c r="I829" s="3">
        <v>83379.240000000005</v>
      </c>
      <c r="J829" s="3">
        <v>-14.78</v>
      </c>
    </row>
    <row r="830" spans="1:10" x14ac:dyDescent="0.25">
      <c r="A830" s="2">
        <v>45437</v>
      </c>
      <c r="B830">
        <v>2024</v>
      </c>
      <c r="C830" t="s">
        <v>29</v>
      </c>
      <c r="D830">
        <v>5</v>
      </c>
      <c r="E830" t="s">
        <v>23</v>
      </c>
      <c r="F830" t="s">
        <v>14</v>
      </c>
      <c r="G830" s="3">
        <v>351</v>
      </c>
      <c r="H830" s="3">
        <v>28.91</v>
      </c>
      <c r="I830" s="3">
        <v>10147.41</v>
      </c>
      <c r="J830" s="3">
        <v>18.329999999999998</v>
      </c>
    </row>
    <row r="831" spans="1:10" x14ac:dyDescent="0.25">
      <c r="A831" s="2">
        <v>45437</v>
      </c>
      <c r="B831">
        <v>2024</v>
      </c>
      <c r="C831" t="s">
        <v>29</v>
      </c>
      <c r="D831">
        <v>5</v>
      </c>
      <c r="E831" t="s">
        <v>23</v>
      </c>
      <c r="F831" t="s">
        <v>15</v>
      </c>
      <c r="G831" s="3">
        <v>453</v>
      </c>
      <c r="H831" s="3">
        <v>39.44</v>
      </c>
      <c r="I831" s="3">
        <v>17866.32</v>
      </c>
      <c r="J831" s="3">
        <v>-1.45</v>
      </c>
    </row>
    <row r="832" spans="1:10" x14ac:dyDescent="0.25">
      <c r="A832" s="2">
        <v>45437</v>
      </c>
      <c r="B832">
        <v>2024</v>
      </c>
      <c r="C832" t="s">
        <v>29</v>
      </c>
      <c r="D832">
        <v>5</v>
      </c>
      <c r="E832" t="s">
        <v>23</v>
      </c>
      <c r="F832" t="s">
        <v>16</v>
      </c>
      <c r="G832" s="3">
        <v>390</v>
      </c>
      <c r="H832" s="3">
        <v>98.94</v>
      </c>
      <c r="I832" s="3">
        <v>38586.6</v>
      </c>
      <c r="J832" s="3">
        <v>-6.26</v>
      </c>
    </row>
    <row r="833" spans="1:10" x14ac:dyDescent="0.25">
      <c r="A833" s="2">
        <v>45437</v>
      </c>
      <c r="B833">
        <v>2024</v>
      </c>
      <c r="C833" t="s">
        <v>29</v>
      </c>
      <c r="D833">
        <v>5</v>
      </c>
      <c r="E833" t="s">
        <v>23</v>
      </c>
      <c r="F833" t="s">
        <v>17</v>
      </c>
      <c r="G833" s="3">
        <v>667</v>
      </c>
      <c r="H833" s="3">
        <v>72.83</v>
      </c>
      <c r="I833" s="3">
        <v>48577.61</v>
      </c>
      <c r="J833" s="3">
        <v>22.27</v>
      </c>
    </row>
    <row r="834" spans="1:10" x14ac:dyDescent="0.25">
      <c r="A834" s="2">
        <v>45437</v>
      </c>
      <c r="B834">
        <v>2024</v>
      </c>
      <c r="C834" t="s">
        <v>29</v>
      </c>
      <c r="D834">
        <v>5</v>
      </c>
      <c r="E834" t="s">
        <v>23</v>
      </c>
      <c r="F834" t="s">
        <v>18</v>
      </c>
      <c r="G834" s="3">
        <v>393</v>
      </c>
      <c r="H834" s="3">
        <v>35.68</v>
      </c>
      <c r="I834" s="3">
        <v>14022.24</v>
      </c>
      <c r="J834" s="3">
        <v>9.68</v>
      </c>
    </row>
    <row r="835" spans="1:10" x14ac:dyDescent="0.25">
      <c r="A835" s="2">
        <v>45437</v>
      </c>
      <c r="B835">
        <v>2024</v>
      </c>
      <c r="C835" t="s">
        <v>29</v>
      </c>
      <c r="D835">
        <v>5</v>
      </c>
      <c r="E835" t="s">
        <v>23</v>
      </c>
      <c r="F835" t="s">
        <v>19</v>
      </c>
      <c r="G835" s="3">
        <v>620</v>
      </c>
      <c r="H835" s="3">
        <v>111.33</v>
      </c>
      <c r="I835" s="3">
        <v>69024.600000000006</v>
      </c>
      <c r="J835" s="3">
        <v>19.97</v>
      </c>
    </row>
    <row r="836" spans="1:10" x14ac:dyDescent="0.25">
      <c r="A836" s="2">
        <v>45437</v>
      </c>
      <c r="B836">
        <v>2024</v>
      </c>
      <c r="C836" t="s">
        <v>29</v>
      </c>
      <c r="D836">
        <v>5</v>
      </c>
      <c r="E836" t="s">
        <v>23</v>
      </c>
      <c r="F836" t="s">
        <v>20</v>
      </c>
      <c r="G836" s="3">
        <v>446</v>
      </c>
      <c r="H836" s="3">
        <v>141.58000000000001</v>
      </c>
      <c r="I836" s="3">
        <v>63144.68</v>
      </c>
      <c r="J836" s="3">
        <v>-13.21</v>
      </c>
    </row>
    <row r="837" spans="1:10" x14ac:dyDescent="0.25">
      <c r="A837" s="2">
        <v>45437</v>
      </c>
      <c r="B837">
        <v>2024</v>
      </c>
      <c r="C837" t="s">
        <v>29</v>
      </c>
      <c r="D837">
        <v>5</v>
      </c>
      <c r="E837" t="s">
        <v>23</v>
      </c>
      <c r="F837" t="s">
        <v>21</v>
      </c>
      <c r="G837" s="3">
        <v>382</v>
      </c>
      <c r="H837" s="3">
        <v>187.3</v>
      </c>
      <c r="I837" s="3">
        <v>71548.600000000006</v>
      </c>
      <c r="J837" s="3">
        <v>-8.39</v>
      </c>
    </row>
    <row r="838" spans="1:10" x14ac:dyDescent="0.25">
      <c r="A838" s="2">
        <v>45437</v>
      </c>
      <c r="B838">
        <v>2024</v>
      </c>
      <c r="C838" t="s">
        <v>29</v>
      </c>
      <c r="D838">
        <v>5</v>
      </c>
      <c r="E838" t="s">
        <v>23</v>
      </c>
      <c r="F838" t="s">
        <v>22</v>
      </c>
      <c r="G838" s="3">
        <v>217</v>
      </c>
      <c r="H838" s="3">
        <v>95.93</v>
      </c>
      <c r="I838" s="3">
        <v>20816.810000000001</v>
      </c>
      <c r="J838" s="3">
        <v>1.44</v>
      </c>
    </row>
    <row r="839" spans="1:10" x14ac:dyDescent="0.25">
      <c r="A839" s="2">
        <v>45437</v>
      </c>
      <c r="B839">
        <v>2024</v>
      </c>
      <c r="C839" t="s">
        <v>29</v>
      </c>
      <c r="D839">
        <v>5</v>
      </c>
      <c r="E839" t="s">
        <v>23</v>
      </c>
      <c r="F839" t="s">
        <v>12</v>
      </c>
      <c r="G839" s="3">
        <v>473</v>
      </c>
      <c r="H839" s="3">
        <v>104.55</v>
      </c>
      <c r="I839" s="3">
        <v>49452.15</v>
      </c>
      <c r="J839" s="3">
        <v>2.9</v>
      </c>
    </row>
    <row r="840" spans="1:10" x14ac:dyDescent="0.25">
      <c r="A840" s="2">
        <v>45437</v>
      </c>
      <c r="B840">
        <v>2024</v>
      </c>
      <c r="C840" t="s">
        <v>29</v>
      </c>
      <c r="D840">
        <v>5</v>
      </c>
      <c r="E840" t="s">
        <v>13</v>
      </c>
      <c r="F840" t="s">
        <v>12</v>
      </c>
      <c r="G840" s="3">
        <v>487</v>
      </c>
      <c r="H840" s="3">
        <v>98.23</v>
      </c>
      <c r="I840" s="3">
        <v>47838.01</v>
      </c>
      <c r="J840" s="3">
        <v>15.96</v>
      </c>
    </row>
    <row r="841" spans="1:10" x14ac:dyDescent="0.25">
      <c r="A841" s="2">
        <v>45437</v>
      </c>
      <c r="B841">
        <v>2024</v>
      </c>
      <c r="C841" t="s">
        <v>29</v>
      </c>
      <c r="D841">
        <v>5</v>
      </c>
      <c r="E841" t="s">
        <v>23</v>
      </c>
      <c r="F841" t="s">
        <v>25</v>
      </c>
      <c r="G841" s="3">
        <v>505</v>
      </c>
      <c r="H841" s="3">
        <v>140.77000000000001</v>
      </c>
      <c r="I841" s="3">
        <v>71088.850000000006</v>
      </c>
      <c r="J841" s="3">
        <v>-4.67</v>
      </c>
    </row>
    <row r="842" spans="1:10" x14ac:dyDescent="0.25">
      <c r="A842" s="2">
        <v>45437</v>
      </c>
      <c r="B842">
        <v>2024</v>
      </c>
      <c r="C842" t="s">
        <v>29</v>
      </c>
      <c r="D842">
        <v>5</v>
      </c>
      <c r="E842" t="s">
        <v>26</v>
      </c>
      <c r="F842" t="s">
        <v>22</v>
      </c>
      <c r="G842" s="3">
        <v>531</v>
      </c>
      <c r="H842" s="3">
        <v>178.22</v>
      </c>
      <c r="I842" s="3">
        <v>94634.82</v>
      </c>
      <c r="J842" s="3">
        <v>7.87</v>
      </c>
    </row>
    <row r="843" spans="1:10" x14ac:dyDescent="0.25">
      <c r="A843" s="2">
        <v>45437</v>
      </c>
      <c r="B843">
        <v>2024</v>
      </c>
      <c r="C843" t="s">
        <v>29</v>
      </c>
      <c r="D843">
        <v>5</v>
      </c>
      <c r="E843" t="s">
        <v>11</v>
      </c>
      <c r="F843" t="s">
        <v>12</v>
      </c>
      <c r="G843" s="3">
        <v>403</v>
      </c>
      <c r="H843" s="3">
        <v>100.47</v>
      </c>
      <c r="I843" s="3">
        <v>40489.410000000003</v>
      </c>
      <c r="J843" s="3">
        <v>3.41</v>
      </c>
    </row>
    <row r="844" spans="1:10" x14ac:dyDescent="0.25">
      <c r="A844" s="2">
        <v>45437</v>
      </c>
      <c r="B844">
        <v>2024</v>
      </c>
      <c r="C844" t="s">
        <v>29</v>
      </c>
      <c r="D844">
        <v>5</v>
      </c>
      <c r="E844" t="s">
        <v>11</v>
      </c>
      <c r="F844" t="s">
        <v>24</v>
      </c>
      <c r="G844" s="3">
        <v>661</v>
      </c>
      <c r="H844" s="3">
        <v>88.69</v>
      </c>
      <c r="I844" s="3">
        <v>58624.09</v>
      </c>
      <c r="J844" s="3">
        <v>-9.85</v>
      </c>
    </row>
    <row r="845" spans="1:10" x14ac:dyDescent="0.25">
      <c r="A845" s="2">
        <v>45437</v>
      </c>
      <c r="B845">
        <v>2024</v>
      </c>
      <c r="C845" t="s">
        <v>29</v>
      </c>
      <c r="D845">
        <v>5</v>
      </c>
      <c r="E845" t="s">
        <v>11</v>
      </c>
      <c r="F845" t="s">
        <v>14</v>
      </c>
      <c r="G845" s="3">
        <v>708</v>
      </c>
      <c r="H845" s="3">
        <v>195.82</v>
      </c>
      <c r="I845" s="3">
        <v>138640.56</v>
      </c>
      <c r="J845" s="3">
        <v>-10.57</v>
      </c>
    </row>
    <row r="846" spans="1:10" x14ac:dyDescent="0.25">
      <c r="A846" s="2">
        <v>45437</v>
      </c>
      <c r="B846">
        <v>2024</v>
      </c>
      <c r="C846" t="s">
        <v>29</v>
      </c>
      <c r="D846">
        <v>5</v>
      </c>
      <c r="E846" t="s">
        <v>11</v>
      </c>
      <c r="F846" t="s">
        <v>15</v>
      </c>
      <c r="G846" s="3">
        <v>645</v>
      </c>
      <c r="H846" s="3">
        <v>23.24</v>
      </c>
      <c r="I846" s="3">
        <v>14989.8</v>
      </c>
      <c r="J846" s="3">
        <v>1.86</v>
      </c>
    </row>
    <row r="847" spans="1:10" x14ac:dyDescent="0.25">
      <c r="A847" s="2">
        <v>45437</v>
      </c>
      <c r="B847">
        <v>2024</v>
      </c>
      <c r="C847" t="s">
        <v>29</v>
      </c>
      <c r="D847">
        <v>5</v>
      </c>
      <c r="E847" t="s">
        <v>11</v>
      </c>
      <c r="F847" t="s">
        <v>16</v>
      </c>
      <c r="G847" s="3">
        <v>319</v>
      </c>
      <c r="H847" s="3">
        <v>185.25</v>
      </c>
      <c r="I847" s="3">
        <v>59094.75</v>
      </c>
      <c r="J847" s="3">
        <v>-3.8</v>
      </c>
    </row>
    <row r="848" spans="1:10" x14ac:dyDescent="0.25">
      <c r="A848" s="2">
        <v>45437</v>
      </c>
      <c r="B848">
        <v>2024</v>
      </c>
      <c r="C848" t="s">
        <v>29</v>
      </c>
      <c r="D848">
        <v>5</v>
      </c>
      <c r="E848" t="s">
        <v>11</v>
      </c>
      <c r="F848" t="s">
        <v>17</v>
      </c>
      <c r="G848" s="3">
        <v>132</v>
      </c>
      <c r="H848" s="3">
        <v>195.1</v>
      </c>
      <c r="I848" s="3">
        <v>25753.200000000001</v>
      </c>
      <c r="J848" s="3">
        <v>18.04</v>
      </c>
    </row>
    <row r="849" spans="1:10" x14ac:dyDescent="0.25">
      <c r="A849" s="2">
        <v>45437</v>
      </c>
      <c r="B849">
        <v>2024</v>
      </c>
      <c r="C849" t="s">
        <v>29</v>
      </c>
      <c r="D849">
        <v>5</v>
      </c>
      <c r="E849" t="s">
        <v>11</v>
      </c>
      <c r="F849" t="s">
        <v>18</v>
      </c>
      <c r="G849" s="3">
        <v>324</v>
      </c>
      <c r="H849" s="3">
        <v>164.88</v>
      </c>
      <c r="I849" s="3">
        <v>53421.120000000003</v>
      </c>
      <c r="J849" s="3">
        <v>-14.28</v>
      </c>
    </row>
    <row r="850" spans="1:10" x14ac:dyDescent="0.25">
      <c r="A850" s="2">
        <v>45437</v>
      </c>
      <c r="B850">
        <v>2024</v>
      </c>
      <c r="C850" t="s">
        <v>29</v>
      </c>
      <c r="D850">
        <v>5</v>
      </c>
      <c r="E850" t="s">
        <v>11</v>
      </c>
      <c r="F850" t="s">
        <v>19</v>
      </c>
      <c r="G850" s="3">
        <v>376</v>
      </c>
      <c r="H850" s="3">
        <v>131.84</v>
      </c>
      <c r="I850" s="3">
        <v>49571.839999999997</v>
      </c>
      <c r="J850" s="3">
        <v>7.37</v>
      </c>
    </row>
    <row r="851" spans="1:10" x14ac:dyDescent="0.25">
      <c r="A851" s="2">
        <v>45437</v>
      </c>
      <c r="B851">
        <v>2024</v>
      </c>
      <c r="C851" t="s">
        <v>29</v>
      </c>
      <c r="D851">
        <v>5</v>
      </c>
      <c r="E851" t="s">
        <v>11</v>
      </c>
      <c r="F851" t="s">
        <v>20</v>
      </c>
      <c r="G851" s="3">
        <v>685</v>
      </c>
      <c r="H851" s="3">
        <v>169.29</v>
      </c>
      <c r="I851" s="3">
        <v>115963.65</v>
      </c>
      <c r="J851" s="3">
        <v>-3.74</v>
      </c>
    </row>
    <row r="852" spans="1:10" x14ac:dyDescent="0.25">
      <c r="A852" s="2">
        <v>45437</v>
      </c>
      <c r="B852">
        <v>2024</v>
      </c>
      <c r="C852" t="s">
        <v>29</v>
      </c>
      <c r="D852">
        <v>5</v>
      </c>
      <c r="E852" t="s">
        <v>11</v>
      </c>
      <c r="F852" t="s">
        <v>21</v>
      </c>
      <c r="G852" s="3">
        <v>447</v>
      </c>
      <c r="H852" s="3">
        <v>59.32</v>
      </c>
      <c r="I852" s="3">
        <v>26516.04</v>
      </c>
      <c r="J852" s="3">
        <v>-10.19</v>
      </c>
    </row>
    <row r="853" spans="1:10" x14ac:dyDescent="0.25">
      <c r="A853" s="2">
        <v>45437</v>
      </c>
      <c r="B853">
        <v>2024</v>
      </c>
      <c r="C853" t="s">
        <v>29</v>
      </c>
      <c r="D853">
        <v>5</v>
      </c>
      <c r="E853" t="s">
        <v>11</v>
      </c>
      <c r="F853" t="s">
        <v>22</v>
      </c>
      <c r="G853" s="3">
        <v>725</v>
      </c>
      <c r="H853" s="3">
        <v>37.380000000000003</v>
      </c>
      <c r="I853" s="3">
        <v>27100.5</v>
      </c>
      <c r="J853" s="3">
        <v>-5.32</v>
      </c>
    </row>
    <row r="854" spans="1:10" x14ac:dyDescent="0.25">
      <c r="A854" s="2">
        <v>45437</v>
      </c>
      <c r="B854">
        <v>2024</v>
      </c>
      <c r="C854" t="s">
        <v>29</v>
      </c>
      <c r="D854">
        <v>5</v>
      </c>
      <c r="E854" t="s">
        <v>26</v>
      </c>
      <c r="F854" t="s">
        <v>25</v>
      </c>
      <c r="G854" s="3">
        <v>350</v>
      </c>
      <c r="H854" s="3">
        <v>145</v>
      </c>
      <c r="I854" s="3">
        <v>50750</v>
      </c>
      <c r="J854" s="3">
        <v>-11.71</v>
      </c>
    </row>
    <row r="855" spans="1:10" x14ac:dyDescent="0.25">
      <c r="A855" s="2">
        <v>45437</v>
      </c>
      <c r="B855">
        <v>2024</v>
      </c>
      <c r="C855" t="s">
        <v>29</v>
      </c>
      <c r="D855">
        <v>5</v>
      </c>
      <c r="E855" t="s">
        <v>26</v>
      </c>
      <c r="F855" t="s">
        <v>12</v>
      </c>
      <c r="G855" s="3">
        <v>703</v>
      </c>
      <c r="H855" s="3">
        <v>127.7</v>
      </c>
      <c r="I855" s="3">
        <v>89773.1</v>
      </c>
      <c r="J855" s="3">
        <v>-3.11</v>
      </c>
    </row>
    <row r="856" spans="1:10" x14ac:dyDescent="0.25">
      <c r="A856" s="2">
        <v>45437</v>
      </c>
      <c r="B856">
        <v>2024</v>
      </c>
      <c r="C856" t="s">
        <v>29</v>
      </c>
      <c r="D856">
        <v>5</v>
      </c>
      <c r="E856" t="s">
        <v>26</v>
      </c>
      <c r="F856" t="s">
        <v>24</v>
      </c>
      <c r="G856" s="3">
        <v>383</v>
      </c>
      <c r="H856" s="3">
        <v>153.77000000000001</v>
      </c>
      <c r="I856" s="3">
        <v>58893.91</v>
      </c>
      <c r="J856" s="3">
        <v>-13.07</v>
      </c>
    </row>
    <row r="857" spans="1:10" x14ac:dyDescent="0.25">
      <c r="A857" s="2">
        <v>45437</v>
      </c>
      <c r="B857">
        <v>2024</v>
      </c>
      <c r="C857" t="s">
        <v>29</v>
      </c>
      <c r="D857">
        <v>5</v>
      </c>
      <c r="E857" t="s">
        <v>26</v>
      </c>
      <c r="F857" t="s">
        <v>14</v>
      </c>
      <c r="G857" s="3">
        <v>117</v>
      </c>
      <c r="H857" s="3">
        <v>177.9</v>
      </c>
      <c r="I857" s="3">
        <v>20814.3</v>
      </c>
      <c r="J857" s="3">
        <v>20.09</v>
      </c>
    </row>
    <row r="858" spans="1:10" x14ac:dyDescent="0.25">
      <c r="A858" s="2">
        <v>45437</v>
      </c>
      <c r="B858">
        <v>2024</v>
      </c>
      <c r="C858" t="s">
        <v>29</v>
      </c>
      <c r="D858">
        <v>5</v>
      </c>
      <c r="E858" t="s">
        <v>26</v>
      </c>
      <c r="F858" t="s">
        <v>15</v>
      </c>
      <c r="G858" s="3">
        <v>686</v>
      </c>
      <c r="H858" s="3">
        <v>126.78</v>
      </c>
      <c r="I858" s="3">
        <v>86971.08</v>
      </c>
      <c r="J858" s="3">
        <v>20.69</v>
      </c>
    </row>
    <row r="859" spans="1:10" x14ac:dyDescent="0.25">
      <c r="A859" s="2">
        <v>45437</v>
      </c>
      <c r="B859">
        <v>2024</v>
      </c>
      <c r="C859" t="s">
        <v>29</v>
      </c>
      <c r="D859">
        <v>5</v>
      </c>
      <c r="E859" t="s">
        <v>26</v>
      </c>
      <c r="F859" t="s">
        <v>16</v>
      </c>
      <c r="G859" s="3">
        <v>176</v>
      </c>
      <c r="H859" s="3">
        <v>132.71</v>
      </c>
      <c r="I859" s="3">
        <v>23356.959999999999</v>
      </c>
      <c r="J859" s="3">
        <v>6.25</v>
      </c>
    </row>
    <row r="860" spans="1:10" x14ac:dyDescent="0.25">
      <c r="A860" s="2">
        <v>45437</v>
      </c>
      <c r="B860">
        <v>2024</v>
      </c>
      <c r="C860" t="s">
        <v>29</v>
      </c>
      <c r="D860">
        <v>5</v>
      </c>
      <c r="E860" t="s">
        <v>26</v>
      </c>
      <c r="F860" t="s">
        <v>17</v>
      </c>
      <c r="G860" s="3">
        <v>111</v>
      </c>
      <c r="H860" s="3">
        <v>163.02000000000001</v>
      </c>
      <c r="I860" s="3">
        <v>18095.22</v>
      </c>
      <c r="J860" s="3">
        <v>-13.61</v>
      </c>
    </row>
    <row r="861" spans="1:10" x14ac:dyDescent="0.25">
      <c r="A861" s="2">
        <v>45437</v>
      </c>
      <c r="B861">
        <v>2024</v>
      </c>
      <c r="C861" t="s">
        <v>29</v>
      </c>
      <c r="D861">
        <v>5</v>
      </c>
      <c r="E861" t="s">
        <v>26</v>
      </c>
      <c r="F861" t="s">
        <v>18</v>
      </c>
      <c r="G861" s="3">
        <v>84</v>
      </c>
      <c r="H861" s="3">
        <v>68.2</v>
      </c>
      <c r="I861" s="3">
        <v>5728.8</v>
      </c>
      <c r="J861" s="3">
        <v>16.57</v>
      </c>
    </row>
    <row r="862" spans="1:10" x14ac:dyDescent="0.25">
      <c r="A862" s="2">
        <v>45437</v>
      </c>
      <c r="B862">
        <v>2024</v>
      </c>
      <c r="C862" t="s">
        <v>29</v>
      </c>
      <c r="D862">
        <v>5</v>
      </c>
      <c r="E862" t="s">
        <v>26</v>
      </c>
      <c r="F862" t="s">
        <v>19</v>
      </c>
      <c r="G862" s="3">
        <v>518</v>
      </c>
      <c r="H862" s="3">
        <v>113.86</v>
      </c>
      <c r="I862" s="3">
        <v>58979.48</v>
      </c>
      <c r="J862" s="3">
        <v>-12.45</v>
      </c>
    </row>
    <row r="863" spans="1:10" x14ac:dyDescent="0.25">
      <c r="A863" s="2">
        <v>45437</v>
      </c>
      <c r="B863">
        <v>2024</v>
      </c>
      <c r="C863" t="s">
        <v>29</v>
      </c>
      <c r="D863">
        <v>5</v>
      </c>
      <c r="E863" t="s">
        <v>26</v>
      </c>
      <c r="F863" t="s">
        <v>20</v>
      </c>
      <c r="G863" s="3">
        <v>325</v>
      </c>
      <c r="H863" s="3">
        <v>59.64</v>
      </c>
      <c r="I863" s="3">
        <v>19383</v>
      </c>
      <c r="J863" s="3">
        <v>4.53</v>
      </c>
    </row>
    <row r="864" spans="1:10" x14ac:dyDescent="0.25">
      <c r="A864" s="2">
        <v>45437</v>
      </c>
      <c r="B864">
        <v>2024</v>
      </c>
      <c r="C864" t="s">
        <v>29</v>
      </c>
      <c r="D864">
        <v>5</v>
      </c>
      <c r="E864" t="s">
        <v>26</v>
      </c>
      <c r="F864" t="s">
        <v>21</v>
      </c>
      <c r="G864" s="3">
        <v>250</v>
      </c>
      <c r="H864" s="3">
        <v>183.73</v>
      </c>
      <c r="I864" s="3">
        <v>45932.5</v>
      </c>
      <c r="J864" s="3">
        <v>11.77</v>
      </c>
    </row>
    <row r="865" spans="1:10" x14ac:dyDescent="0.25">
      <c r="A865" s="2">
        <v>45437</v>
      </c>
      <c r="B865">
        <v>2024</v>
      </c>
      <c r="C865" t="s">
        <v>29</v>
      </c>
      <c r="D865">
        <v>5</v>
      </c>
      <c r="E865" t="s">
        <v>11</v>
      </c>
      <c r="F865" t="s">
        <v>25</v>
      </c>
      <c r="G865" s="3">
        <v>369</v>
      </c>
      <c r="H865" s="3">
        <v>122.09</v>
      </c>
      <c r="I865" s="3">
        <v>45051.21</v>
      </c>
      <c r="J865" s="3">
        <v>-3.65</v>
      </c>
    </row>
    <row r="866" spans="1:10" x14ac:dyDescent="0.25">
      <c r="A866" s="2">
        <v>45467</v>
      </c>
      <c r="B866">
        <v>2024</v>
      </c>
      <c r="C866" t="s">
        <v>30</v>
      </c>
      <c r="D866">
        <v>6</v>
      </c>
      <c r="E866" t="s">
        <v>13</v>
      </c>
      <c r="F866" t="s">
        <v>22</v>
      </c>
      <c r="G866" s="3">
        <v>606</v>
      </c>
      <c r="H866" s="3">
        <v>89.16</v>
      </c>
      <c r="I866" s="3">
        <v>54030.96</v>
      </c>
      <c r="J866" s="3">
        <v>-13.44</v>
      </c>
    </row>
    <row r="867" spans="1:10" x14ac:dyDescent="0.25">
      <c r="A867" s="2">
        <v>45467</v>
      </c>
      <c r="B867">
        <v>2024</v>
      </c>
      <c r="C867" t="s">
        <v>30</v>
      </c>
      <c r="D867">
        <v>6</v>
      </c>
      <c r="E867" t="s">
        <v>13</v>
      </c>
      <c r="F867" t="s">
        <v>21</v>
      </c>
      <c r="G867" s="3">
        <v>425</v>
      </c>
      <c r="H867" s="3">
        <v>195.94</v>
      </c>
      <c r="I867" s="3">
        <v>83274.5</v>
      </c>
      <c r="J867" s="3">
        <v>6.28</v>
      </c>
    </row>
    <row r="868" spans="1:10" x14ac:dyDescent="0.25">
      <c r="A868" s="2">
        <v>45467</v>
      </c>
      <c r="B868">
        <v>2024</v>
      </c>
      <c r="C868" t="s">
        <v>30</v>
      </c>
      <c r="D868">
        <v>6</v>
      </c>
      <c r="E868" t="s">
        <v>13</v>
      </c>
      <c r="F868" t="s">
        <v>20</v>
      </c>
      <c r="G868" s="3">
        <v>80</v>
      </c>
      <c r="H868" s="3">
        <v>143.88999999999999</v>
      </c>
      <c r="I868" s="3">
        <v>11511.2</v>
      </c>
      <c r="J868" s="3">
        <v>-9.3800000000000008</v>
      </c>
    </row>
    <row r="869" spans="1:10" x14ac:dyDescent="0.25">
      <c r="A869" s="2">
        <v>45467</v>
      </c>
      <c r="B869">
        <v>2024</v>
      </c>
      <c r="C869" t="s">
        <v>30</v>
      </c>
      <c r="D869">
        <v>6</v>
      </c>
      <c r="E869" t="s">
        <v>13</v>
      </c>
      <c r="F869" t="s">
        <v>19</v>
      </c>
      <c r="G869" s="3">
        <v>677</v>
      </c>
      <c r="H869" s="3">
        <v>124.44</v>
      </c>
      <c r="I869" s="3">
        <v>84245.88</v>
      </c>
      <c r="J869" s="3">
        <v>7.39</v>
      </c>
    </row>
    <row r="870" spans="1:10" x14ac:dyDescent="0.25">
      <c r="A870" s="2">
        <v>45467</v>
      </c>
      <c r="B870">
        <v>2024</v>
      </c>
      <c r="C870" t="s">
        <v>30</v>
      </c>
      <c r="D870">
        <v>6</v>
      </c>
      <c r="E870" t="s">
        <v>13</v>
      </c>
      <c r="F870" t="s">
        <v>14</v>
      </c>
      <c r="G870" s="3">
        <v>245</v>
      </c>
      <c r="H870" s="3">
        <v>28.06</v>
      </c>
      <c r="I870" s="3">
        <v>6874.7</v>
      </c>
      <c r="J870" s="3">
        <v>15.48</v>
      </c>
    </row>
    <row r="871" spans="1:10" x14ac:dyDescent="0.25">
      <c r="A871" s="2">
        <v>45467</v>
      </c>
      <c r="B871">
        <v>2024</v>
      </c>
      <c r="C871" t="s">
        <v>30</v>
      </c>
      <c r="D871">
        <v>6</v>
      </c>
      <c r="E871" t="s">
        <v>13</v>
      </c>
      <c r="F871" t="s">
        <v>17</v>
      </c>
      <c r="G871" s="3">
        <v>528</v>
      </c>
      <c r="H871" s="3">
        <v>162.51</v>
      </c>
      <c r="I871" s="3">
        <v>85805.28</v>
      </c>
      <c r="J871" s="3">
        <v>8.84</v>
      </c>
    </row>
    <row r="872" spans="1:10" x14ac:dyDescent="0.25">
      <c r="A872" s="2">
        <v>45467</v>
      </c>
      <c r="B872">
        <v>2024</v>
      </c>
      <c r="C872" t="s">
        <v>30</v>
      </c>
      <c r="D872">
        <v>6</v>
      </c>
      <c r="E872" t="s">
        <v>13</v>
      </c>
      <c r="F872" t="s">
        <v>16</v>
      </c>
      <c r="G872" s="3">
        <v>493</v>
      </c>
      <c r="H872" s="3">
        <v>88.2</v>
      </c>
      <c r="I872" s="3">
        <v>43482.6</v>
      </c>
      <c r="J872" s="3">
        <v>-14.73</v>
      </c>
    </row>
    <row r="873" spans="1:10" x14ac:dyDescent="0.25">
      <c r="A873" s="2">
        <v>45467</v>
      </c>
      <c r="B873">
        <v>2024</v>
      </c>
      <c r="C873" t="s">
        <v>30</v>
      </c>
      <c r="D873">
        <v>6</v>
      </c>
      <c r="E873" t="s">
        <v>13</v>
      </c>
      <c r="F873" t="s">
        <v>15</v>
      </c>
      <c r="G873" s="3">
        <v>608</v>
      </c>
      <c r="H873" s="3">
        <v>47.8</v>
      </c>
      <c r="I873" s="3">
        <v>29062.400000000001</v>
      </c>
      <c r="J873" s="3">
        <v>-13.98</v>
      </c>
    </row>
    <row r="874" spans="1:10" x14ac:dyDescent="0.25">
      <c r="A874" s="2">
        <v>45467</v>
      </c>
      <c r="B874">
        <v>2024</v>
      </c>
      <c r="C874" t="s">
        <v>30</v>
      </c>
      <c r="D874">
        <v>6</v>
      </c>
      <c r="E874" t="s">
        <v>13</v>
      </c>
      <c r="F874" t="s">
        <v>25</v>
      </c>
      <c r="G874" s="3">
        <v>412</v>
      </c>
      <c r="H874" s="3">
        <v>89.84</v>
      </c>
      <c r="I874" s="3">
        <v>37014.080000000002</v>
      </c>
      <c r="J874" s="3">
        <v>-8.6</v>
      </c>
    </row>
    <row r="875" spans="1:10" x14ac:dyDescent="0.25">
      <c r="A875" s="2">
        <v>45467</v>
      </c>
      <c r="B875">
        <v>2024</v>
      </c>
      <c r="C875" t="s">
        <v>30</v>
      </c>
      <c r="D875">
        <v>6</v>
      </c>
      <c r="E875" t="s">
        <v>13</v>
      </c>
      <c r="F875" t="s">
        <v>18</v>
      </c>
      <c r="G875" s="3">
        <v>625</v>
      </c>
      <c r="H875" s="3">
        <v>129.04</v>
      </c>
      <c r="I875" s="3">
        <v>80650</v>
      </c>
      <c r="J875" s="3">
        <v>-0.42</v>
      </c>
    </row>
    <row r="876" spans="1:10" x14ac:dyDescent="0.25">
      <c r="A876" s="2">
        <v>45467</v>
      </c>
      <c r="B876">
        <v>2024</v>
      </c>
      <c r="C876" t="s">
        <v>30</v>
      </c>
      <c r="D876">
        <v>6</v>
      </c>
      <c r="E876" t="s">
        <v>23</v>
      </c>
      <c r="F876" t="s">
        <v>12</v>
      </c>
      <c r="G876" s="3">
        <v>311</v>
      </c>
      <c r="H876" s="3">
        <v>156.12</v>
      </c>
      <c r="I876" s="3">
        <v>48553.32</v>
      </c>
      <c r="J876" s="3">
        <v>3.34</v>
      </c>
    </row>
    <row r="877" spans="1:10" x14ac:dyDescent="0.25">
      <c r="A877" s="2">
        <v>45467</v>
      </c>
      <c r="B877">
        <v>2024</v>
      </c>
      <c r="C877" t="s">
        <v>30</v>
      </c>
      <c r="D877">
        <v>6</v>
      </c>
      <c r="E877" t="s">
        <v>23</v>
      </c>
      <c r="F877" t="s">
        <v>17</v>
      </c>
      <c r="G877" s="3">
        <v>480</v>
      </c>
      <c r="H877" s="3">
        <v>47.29</v>
      </c>
      <c r="I877" s="3">
        <v>22699.200000000001</v>
      </c>
      <c r="J877" s="3">
        <v>-13.76</v>
      </c>
    </row>
    <row r="878" spans="1:10" x14ac:dyDescent="0.25">
      <c r="A878" s="2">
        <v>45467</v>
      </c>
      <c r="B878">
        <v>2024</v>
      </c>
      <c r="C878" t="s">
        <v>30</v>
      </c>
      <c r="D878">
        <v>6</v>
      </c>
      <c r="E878" t="s">
        <v>23</v>
      </c>
      <c r="F878" t="s">
        <v>14</v>
      </c>
      <c r="G878" s="3">
        <v>598</v>
      </c>
      <c r="H878" s="3">
        <v>192.07</v>
      </c>
      <c r="I878" s="3">
        <v>114857.86</v>
      </c>
      <c r="J878" s="3">
        <v>-2.44</v>
      </c>
    </row>
    <row r="879" spans="1:10" x14ac:dyDescent="0.25">
      <c r="A879" s="2">
        <v>45467</v>
      </c>
      <c r="B879">
        <v>2024</v>
      </c>
      <c r="C879" t="s">
        <v>30</v>
      </c>
      <c r="D879">
        <v>6</v>
      </c>
      <c r="E879" t="s">
        <v>23</v>
      </c>
      <c r="F879" t="s">
        <v>15</v>
      </c>
      <c r="G879" s="3">
        <v>136</v>
      </c>
      <c r="H879" s="3">
        <v>99.94</v>
      </c>
      <c r="I879" s="3">
        <v>13591.84</v>
      </c>
      <c r="J879" s="3">
        <v>24.79</v>
      </c>
    </row>
    <row r="880" spans="1:10" x14ac:dyDescent="0.25">
      <c r="A880" s="2">
        <v>45467</v>
      </c>
      <c r="B880">
        <v>2024</v>
      </c>
      <c r="C880" t="s">
        <v>30</v>
      </c>
      <c r="D880">
        <v>6</v>
      </c>
      <c r="E880" t="s">
        <v>23</v>
      </c>
      <c r="F880" t="s">
        <v>16</v>
      </c>
      <c r="G880" s="3">
        <v>250</v>
      </c>
      <c r="H880" s="3">
        <v>197.12</v>
      </c>
      <c r="I880" s="3">
        <v>49280</v>
      </c>
      <c r="J880" s="3">
        <v>-3.46</v>
      </c>
    </row>
    <row r="881" spans="1:10" x14ac:dyDescent="0.25">
      <c r="A881" s="2">
        <v>45467</v>
      </c>
      <c r="B881">
        <v>2024</v>
      </c>
      <c r="C881" t="s">
        <v>30</v>
      </c>
      <c r="D881">
        <v>6</v>
      </c>
      <c r="E881" t="s">
        <v>23</v>
      </c>
      <c r="F881" t="s">
        <v>18</v>
      </c>
      <c r="G881" s="3">
        <v>785</v>
      </c>
      <c r="H881" s="3">
        <v>81.27</v>
      </c>
      <c r="I881" s="3">
        <v>63796.95</v>
      </c>
      <c r="J881" s="3">
        <v>6.66</v>
      </c>
    </row>
    <row r="882" spans="1:10" x14ac:dyDescent="0.25">
      <c r="A882" s="2">
        <v>45467</v>
      </c>
      <c r="B882">
        <v>2024</v>
      </c>
      <c r="C882" t="s">
        <v>30</v>
      </c>
      <c r="D882">
        <v>6</v>
      </c>
      <c r="E882" t="s">
        <v>23</v>
      </c>
      <c r="F882" t="s">
        <v>19</v>
      </c>
      <c r="G882" s="3">
        <v>214</v>
      </c>
      <c r="H882" s="3">
        <v>106.02</v>
      </c>
      <c r="I882" s="3">
        <v>22688.28</v>
      </c>
      <c r="J882" s="3">
        <v>6.29</v>
      </c>
    </row>
    <row r="883" spans="1:10" x14ac:dyDescent="0.25">
      <c r="A883" s="2">
        <v>45467</v>
      </c>
      <c r="B883">
        <v>2024</v>
      </c>
      <c r="C883" t="s">
        <v>30</v>
      </c>
      <c r="D883">
        <v>6</v>
      </c>
      <c r="E883" t="s">
        <v>23</v>
      </c>
      <c r="F883" t="s">
        <v>20</v>
      </c>
      <c r="G883" s="3">
        <v>414</v>
      </c>
      <c r="H883" s="3">
        <v>157.13999999999999</v>
      </c>
      <c r="I883" s="3">
        <v>65055.96</v>
      </c>
      <c r="J883" s="3">
        <v>18.350000000000001</v>
      </c>
    </row>
    <row r="884" spans="1:10" x14ac:dyDescent="0.25">
      <c r="A884" s="2">
        <v>45467</v>
      </c>
      <c r="B884">
        <v>2024</v>
      </c>
      <c r="C884" t="s">
        <v>30</v>
      </c>
      <c r="D884">
        <v>6</v>
      </c>
      <c r="E884" t="s">
        <v>23</v>
      </c>
      <c r="F884" t="s">
        <v>21</v>
      </c>
      <c r="G884" s="3">
        <v>603</v>
      </c>
      <c r="H884" s="3">
        <v>168.83</v>
      </c>
      <c r="I884" s="3">
        <v>101804.49</v>
      </c>
      <c r="J884" s="3">
        <v>13.36</v>
      </c>
    </row>
    <row r="885" spans="1:10" x14ac:dyDescent="0.25">
      <c r="A885" s="2">
        <v>45467</v>
      </c>
      <c r="B885">
        <v>2024</v>
      </c>
      <c r="C885" t="s">
        <v>30</v>
      </c>
      <c r="D885">
        <v>6</v>
      </c>
      <c r="E885" t="s">
        <v>23</v>
      </c>
      <c r="F885" t="s">
        <v>22</v>
      </c>
      <c r="G885" s="3">
        <v>546</v>
      </c>
      <c r="H885" s="3">
        <v>111.34</v>
      </c>
      <c r="I885" s="3">
        <v>60791.64</v>
      </c>
      <c r="J885" s="3">
        <v>12.1</v>
      </c>
    </row>
    <row r="886" spans="1:10" x14ac:dyDescent="0.25">
      <c r="A886" s="2">
        <v>45467</v>
      </c>
      <c r="B886">
        <v>2024</v>
      </c>
      <c r="C886" t="s">
        <v>30</v>
      </c>
      <c r="D886">
        <v>6</v>
      </c>
      <c r="E886" t="s">
        <v>23</v>
      </c>
      <c r="F886" t="s">
        <v>25</v>
      </c>
      <c r="G886" s="3">
        <v>582</v>
      </c>
      <c r="H886" s="3">
        <v>193.96</v>
      </c>
      <c r="I886" s="3">
        <v>112884.72</v>
      </c>
      <c r="J886" s="3">
        <v>7.31</v>
      </c>
    </row>
    <row r="887" spans="1:10" x14ac:dyDescent="0.25">
      <c r="A887" s="2">
        <v>45467</v>
      </c>
      <c r="B887">
        <v>2024</v>
      </c>
      <c r="C887" t="s">
        <v>30</v>
      </c>
      <c r="D887">
        <v>6</v>
      </c>
      <c r="E887" t="s">
        <v>13</v>
      </c>
      <c r="F887" t="s">
        <v>24</v>
      </c>
      <c r="G887" s="3">
        <v>339</v>
      </c>
      <c r="H887" s="3">
        <v>50.03</v>
      </c>
      <c r="I887" s="3">
        <v>16960.169999999998</v>
      </c>
      <c r="J887" s="3">
        <v>2.2200000000000002</v>
      </c>
    </row>
    <row r="888" spans="1:10" x14ac:dyDescent="0.25">
      <c r="A888" s="2">
        <v>45467</v>
      </c>
      <c r="B888">
        <v>2024</v>
      </c>
      <c r="C888" t="s">
        <v>30</v>
      </c>
      <c r="D888">
        <v>6</v>
      </c>
      <c r="E888" t="s">
        <v>23</v>
      </c>
      <c r="F888" t="s">
        <v>24</v>
      </c>
      <c r="G888" s="3">
        <v>591</v>
      </c>
      <c r="H888" s="3">
        <v>43.41</v>
      </c>
      <c r="I888" s="3">
        <v>25655.31</v>
      </c>
      <c r="J888" s="3">
        <v>18.420000000000002</v>
      </c>
    </row>
    <row r="889" spans="1:10" x14ac:dyDescent="0.25">
      <c r="A889" s="2">
        <v>45467</v>
      </c>
      <c r="B889">
        <v>2024</v>
      </c>
      <c r="C889" t="s">
        <v>30</v>
      </c>
      <c r="D889">
        <v>6</v>
      </c>
      <c r="E889" t="s">
        <v>13</v>
      </c>
      <c r="F889" t="s">
        <v>12</v>
      </c>
      <c r="G889" s="3">
        <v>661</v>
      </c>
      <c r="H889" s="3">
        <v>90.74</v>
      </c>
      <c r="I889" s="3">
        <v>59979.14</v>
      </c>
      <c r="J889" s="3">
        <v>6.03</v>
      </c>
    </row>
    <row r="890" spans="1:10" x14ac:dyDescent="0.25">
      <c r="A890" s="2">
        <v>45467</v>
      </c>
      <c r="B890">
        <v>2024</v>
      </c>
      <c r="C890" t="s">
        <v>30</v>
      </c>
      <c r="D890">
        <v>6</v>
      </c>
      <c r="E890" t="s">
        <v>26</v>
      </c>
      <c r="F890" t="s">
        <v>25</v>
      </c>
      <c r="G890" s="3">
        <v>721</v>
      </c>
      <c r="H890" s="3">
        <v>86.81</v>
      </c>
      <c r="I890" s="3">
        <v>62590.01</v>
      </c>
      <c r="J890" s="3">
        <v>9.0399999999999991</v>
      </c>
    </row>
    <row r="891" spans="1:10" x14ac:dyDescent="0.25">
      <c r="A891" s="2">
        <v>45467</v>
      </c>
      <c r="B891">
        <v>2024</v>
      </c>
      <c r="C891" t="s">
        <v>30</v>
      </c>
      <c r="D891">
        <v>6</v>
      </c>
      <c r="E891" t="s">
        <v>26</v>
      </c>
      <c r="F891" t="s">
        <v>22</v>
      </c>
      <c r="G891" s="3">
        <v>112</v>
      </c>
      <c r="H891" s="3">
        <v>37.799999999999997</v>
      </c>
      <c r="I891" s="3">
        <v>4233.6000000000004</v>
      </c>
      <c r="J891" s="3">
        <v>20.59</v>
      </c>
    </row>
    <row r="892" spans="1:10" x14ac:dyDescent="0.25">
      <c r="A892" s="2">
        <v>45467</v>
      </c>
      <c r="B892">
        <v>2024</v>
      </c>
      <c r="C892" t="s">
        <v>30</v>
      </c>
      <c r="D892">
        <v>6</v>
      </c>
      <c r="E892" t="s">
        <v>11</v>
      </c>
      <c r="F892" t="s">
        <v>12</v>
      </c>
      <c r="G892" s="3">
        <v>494</v>
      </c>
      <c r="H892" s="3">
        <v>75.69</v>
      </c>
      <c r="I892" s="3">
        <v>37390.86</v>
      </c>
      <c r="J892" s="3">
        <v>17.95</v>
      </c>
    </row>
    <row r="893" spans="1:10" x14ac:dyDescent="0.25">
      <c r="A893" s="2">
        <v>45467</v>
      </c>
      <c r="B893">
        <v>2024</v>
      </c>
      <c r="C893" t="s">
        <v>30</v>
      </c>
      <c r="D893">
        <v>6</v>
      </c>
      <c r="E893" t="s">
        <v>11</v>
      </c>
      <c r="F893" t="s">
        <v>24</v>
      </c>
      <c r="G893" s="3">
        <v>152</v>
      </c>
      <c r="H893" s="3">
        <v>191.73</v>
      </c>
      <c r="I893" s="3">
        <v>29142.959999999999</v>
      </c>
      <c r="J893" s="3">
        <v>13.86</v>
      </c>
    </row>
    <row r="894" spans="1:10" x14ac:dyDescent="0.25">
      <c r="A894" s="2">
        <v>45467</v>
      </c>
      <c r="B894">
        <v>2024</v>
      </c>
      <c r="C894" t="s">
        <v>30</v>
      </c>
      <c r="D894">
        <v>6</v>
      </c>
      <c r="E894" t="s">
        <v>11</v>
      </c>
      <c r="F894" t="s">
        <v>14</v>
      </c>
      <c r="G894" s="3">
        <v>202</v>
      </c>
      <c r="H894" s="3">
        <v>134.55000000000001</v>
      </c>
      <c r="I894" s="3">
        <v>27179.1</v>
      </c>
      <c r="J894" s="3">
        <v>-12.95</v>
      </c>
    </row>
    <row r="895" spans="1:10" x14ac:dyDescent="0.25">
      <c r="A895" s="2">
        <v>45467</v>
      </c>
      <c r="B895">
        <v>2024</v>
      </c>
      <c r="C895" t="s">
        <v>30</v>
      </c>
      <c r="D895">
        <v>6</v>
      </c>
      <c r="E895" t="s">
        <v>11</v>
      </c>
      <c r="F895" t="s">
        <v>15</v>
      </c>
      <c r="G895" s="3">
        <v>480</v>
      </c>
      <c r="H895" s="3">
        <v>30.71</v>
      </c>
      <c r="I895" s="3">
        <v>14740.8</v>
      </c>
      <c r="J895" s="3">
        <v>9.15</v>
      </c>
    </row>
    <row r="896" spans="1:10" x14ac:dyDescent="0.25">
      <c r="A896" s="2">
        <v>45467</v>
      </c>
      <c r="B896">
        <v>2024</v>
      </c>
      <c r="C896" t="s">
        <v>30</v>
      </c>
      <c r="D896">
        <v>6</v>
      </c>
      <c r="E896" t="s">
        <v>11</v>
      </c>
      <c r="F896" t="s">
        <v>16</v>
      </c>
      <c r="G896" s="3">
        <v>707</v>
      </c>
      <c r="H896" s="3">
        <v>40.61</v>
      </c>
      <c r="I896" s="3">
        <v>28711.27</v>
      </c>
      <c r="J896" s="3">
        <v>0.35</v>
      </c>
    </row>
    <row r="897" spans="1:10" x14ac:dyDescent="0.25">
      <c r="A897" s="2">
        <v>45467</v>
      </c>
      <c r="B897">
        <v>2024</v>
      </c>
      <c r="C897" t="s">
        <v>30</v>
      </c>
      <c r="D897">
        <v>6</v>
      </c>
      <c r="E897" t="s">
        <v>11</v>
      </c>
      <c r="F897" t="s">
        <v>17</v>
      </c>
      <c r="G897" s="3">
        <v>688</v>
      </c>
      <c r="H897" s="3">
        <v>139.28</v>
      </c>
      <c r="I897" s="3">
        <v>95824.639999999999</v>
      </c>
      <c r="J897" s="3">
        <v>-11.31</v>
      </c>
    </row>
    <row r="898" spans="1:10" x14ac:dyDescent="0.25">
      <c r="A898" s="2">
        <v>45467</v>
      </c>
      <c r="B898">
        <v>2024</v>
      </c>
      <c r="C898" t="s">
        <v>30</v>
      </c>
      <c r="D898">
        <v>6</v>
      </c>
      <c r="E898" t="s">
        <v>11</v>
      </c>
      <c r="F898" t="s">
        <v>19</v>
      </c>
      <c r="G898" s="3">
        <v>381</v>
      </c>
      <c r="H898" s="3">
        <v>34.43</v>
      </c>
      <c r="I898" s="3">
        <v>13117.83</v>
      </c>
      <c r="J898" s="3">
        <v>-0.81</v>
      </c>
    </row>
    <row r="899" spans="1:10" x14ac:dyDescent="0.25">
      <c r="A899" s="2">
        <v>45467</v>
      </c>
      <c r="B899">
        <v>2024</v>
      </c>
      <c r="C899" t="s">
        <v>30</v>
      </c>
      <c r="D899">
        <v>6</v>
      </c>
      <c r="E899" t="s">
        <v>11</v>
      </c>
      <c r="F899" t="s">
        <v>20</v>
      </c>
      <c r="G899" s="3">
        <v>154</v>
      </c>
      <c r="H899" s="3">
        <v>136.36000000000001</v>
      </c>
      <c r="I899" s="3">
        <v>20999.439999999999</v>
      </c>
      <c r="J899" s="3">
        <v>20.52</v>
      </c>
    </row>
    <row r="900" spans="1:10" x14ac:dyDescent="0.25">
      <c r="A900" s="2">
        <v>45467</v>
      </c>
      <c r="B900">
        <v>2024</v>
      </c>
      <c r="C900" t="s">
        <v>30</v>
      </c>
      <c r="D900">
        <v>6</v>
      </c>
      <c r="E900" t="s">
        <v>11</v>
      </c>
      <c r="F900" t="s">
        <v>21</v>
      </c>
      <c r="G900" s="3">
        <v>315</v>
      </c>
      <c r="H900" s="3">
        <v>110.39</v>
      </c>
      <c r="I900" s="3">
        <v>34772.85</v>
      </c>
      <c r="J900" s="3">
        <v>-9.4499999999999993</v>
      </c>
    </row>
    <row r="901" spans="1:10" x14ac:dyDescent="0.25">
      <c r="A901" s="2">
        <v>45467</v>
      </c>
      <c r="B901">
        <v>2024</v>
      </c>
      <c r="C901" t="s">
        <v>30</v>
      </c>
      <c r="D901">
        <v>6</v>
      </c>
      <c r="E901" t="s">
        <v>11</v>
      </c>
      <c r="F901" t="s">
        <v>22</v>
      </c>
      <c r="G901" s="3">
        <v>762</v>
      </c>
      <c r="H901" s="3">
        <v>130.26</v>
      </c>
      <c r="I901" s="3">
        <v>99258.12</v>
      </c>
      <c r="J901" s="3">
        <v>19.95</v>
      </c>
    </row>
    <row r="902" spans="1:10" x14ac:dyDescent="0.25">
      <c r="A902" s="2">
        <v>45467</v>
      </c>
      <c r="B902">
        <v>2024</v>
      </c>
      <c r="C902" t="s">
        <v>30</v>
      </c>
      <c r="D902">
        <v>6</v>
      </c>
      <c r="E902" t="s">
        <v>11</v>
      </c>
      <c r="F902" t="s">
        <v>18</v>
      </c>
      <c r="G902" s="3">
        <v>461</v>
      </c>
      <c r="H902" s="3">
        <v>118.93</v>
      </c>
      <c r="I902" s="3">
        <v>54826.73</v>
      </c>
      <c r="J902" s="3">
        <v>21.01</v>
      </c>
    </row>
    <row r="903" spans="1:10" x14ac:dyDescent="0.25">
      <c r="A903" s="2">
        <v>45467</v>
      </c>
      <c r="B903">
        <v>2024</v>
      </c>
      <c r="C903" t="s">
        <v>30</v>
      </c>
      <c r="D903">
        <v>6</v>
      </c>
      <c r="E903" t="s">
        <v>26</v>
      </c>
      <c r="F903" t="s">
        <v>12</v>
      </c>
      <c r="G903" s="3">
        <v>654</v>
      </c>
      <c r="H903" s="3">
        <v>31.96</v>
      </c>
      <c r="I903" s="3">
        <v>20901.84</v>
      </c>
      <c r="J903" s="3">
        <v>6.36</v>
      </c>
    </row>
    <row r="904" spans="1:10" x14ac:dyDescent="0.25">
      <c r="A904" s="2">
        <v>45467</v>
      </c>
      <c r="B904">
        <v>2024</v>
      </c>
      <c r="C904" t="s">
        <v>30</v>
      </c>
      <c r="D904">
        <v>6</v>
      </c>
      <c r="E904" t="s">
        <v>11</v>
      </c>
      <c r="F904" t="s">
        <v>25</v>
      </c>
      <c r="G904" s="3">
        <v>133</v>
      </c>
      <c r="H904" s="3">
        <v>134.82</v>
      </c>
      <c r="I904" s="3">
        <v>17931.060000000001</v>
      </c>
      <c r="J904" s="3">
        <v>14.64</v>
      </c>
    </row>
    <row r="905" spans="1:10" x14ac:dyDescent="0.25">
      <c r="A905" s="2">
        <v>45467</v>
      </c>
      <c r="B905">
        <v>2024</v>
      </c>
      <c r="C905" t="s">
        <v>30</v>
      </c>
      <c r="D905">
        <v>6</v>
      </c>
      <c r="E905" t="s">
        <v>26</v>
      </c>
      <c r="F905" t="s">
        <v>20</v>
      </c>
      <c r="G905" s="3">
        <v>237</v>
      </c>
      <c r="H905" s="3">
        <v>60.73</v>
      </c>
      <c r="I905" s="3">
        <v>14393.01</v>
      </c>
      <c r="J905" s="3">
        <v>0.37</v>
      </c>
    </row>
    <row r="906" spans="1:10" x14ac:dyDescent="0.25">
      <c r="A906" s="2">
        <v>45467</v>
      </c>
      <c r="B906">
        <v>2024</v>
      </c>
      <c r="C906" t="s">
        <v>30</v>
      </c>
      <c r="D906">
        <v>6</v>
      </c>
      <c r="E906" t="s">
        <v>26</v>
      </c>
      <c r="F906" t="s">
        <v>19</v>
      </c>
      <c r="G906" s="3">
        <v>122</v>
      </c>
      <c r="H906" s="3">
        <v>75.14</v>
      </c>
      <c r="I906" s="3">
        <v>9167.08</v>
      </c>
      <c r="J906" s="3">
        <v>16.559999999999999</v>
      </c>
    </row>
    <row r="907" spans="1:10" x14ac:dyDescent="0.25">
      <c r="A907" s="2">
        <v>45467</v>
      </c>
      <c r="B907">
        <v>2024</v>
      </c>
      <c r="C907" t="s">
        <v>30</v>
      </c>
      <c r="D907">
        <v>6</v>
      </c>
      <c r="E907" t="s">
        <v>26</v>
      </c>
      <c r="F907" t="s">
        <v>18</v>
      </c>
      <c r="G907" s="3">
        <v>707</v>
      </c>
      <c r="H907" s="3">
        <v>92.7</v>
      </c>
      <c r="I907" s="3">
        <v>65538.899999999994</v>
      </c>
      <c r="J907" s="3">
        <v>-11.9</v>
      </c>
    </row>
    <row r="908" spans="1:10" x14ac:dyDescent="0.25">
      <c r="A908" s="2">
        <v>45467</v>
      </c>
      <c r="B908">
        <v>2024</v>
      </c>
      <c r="C908" t="s">
        <v>30</v>
      </c>
      <c r="D908">
        <v>6</v>
      </c>
      <c r="E908" t="s">
        <v>26</v>
      </c>
      <c r="F908" t="s">
        <v>17</v>
      </c>
      <c r="G908" s="3">
        <v>343</v>
      </c>
      <c r="H908" s="3">
        <v>172.21</v>
      </c>
      <c r="I908" s="3">
        <v>59068.03</v>
      </c>
      <c r="J908" s="3">
        <v>12.7</v>
      </c>
    </row>
    <row r="909" spans="1:10" x14ac:dyDescent="0.25">
      <c r="A909" s="2">
        <v>45467</v>
      </c>
      <c r="B909">
        <v>2024</v>
      </c>
      <c r="C909" t="s">
        <v>30</v>
      </c>
      <c r="D909">
        <v>6</v>
      </c>
      <c r="E909" t="s">
        <v>26</v>
      </c>
      <c r="F909" t="s">
        <v>21</v>
      </c>
      <c r="G909" s="3">
        <v>244</v>
      </c>
      <c r="H909" s="3">
        <v>174.36</v>
      </c>
      <c r="I909" s="3">
        <v>42543.839999999997</v>
      </c>
      <c r="J909" s="3">
        <v>21.67</v>
      </c>
    </row>
    <row r="910" spans="1:10" x14ac:dyDescent="0.25">
      <c r="A910" s="2">
        <v>45467</v>
      </c>
      <c r="B910">
        <v>2024</v>
      </c>
      <c r="C910" t="s">
        <v>30</v>
      </c>
      <c r="D910">
        <v>6</v>
      </c>
      <c r="E910" t="s">
        <v>26</v>
      </c>
      <c r="F910" t="s">
        <v>15</v>
      </c>
      <c r="G910" s="3">
        <v>406</v>
      </c>
      <c r="H910" s="3">
        <v>42.14</v>
      </c>
      <c r="I910" s="3">
        <v>17108.84</v>
      </c>
      <c r="J910" s="3">
        <v>7.35</v>
      </c>
    </row>
    <row r="911" spans="1:10" x14ac:dyDescent="0.25">
      <c r="A911" s="2">
        <v>45467</v>
      </c>
      <c r="B911">
        <v>2024</v>
      </c>
      <c r="C911" t="s">
        <v>30</v>
      </c>
      <c r="D911">
        <v>6</v>
      </c>
      <c r="E911" t="s">
        <v>26</v>
      </c>
      <c r="F911" t="s">
        <v>14</v>
      </c>
      <c r="G911" s="3">
        <v>317</v>
      </c>
      <c r="H911" s="3">
        <v>73.11</v>
      </c>
      <c r="I911" s="3">
        <v>23175.87</v>
      </c>
      <c r="J911" s="3">
        <v>4.4400000000000004</v>
      </c>
    </row>
    <row r="912" spans="1:10" x14ac:dyDescent="0.25">
      <c r="A912" s="2">
        <v>45467</v>
      </c>
      <c r="B912">
        <v>2024</v>
      </c>
      <c r="C912" t="s">
        <v>30</v>
      </c>
      <c r="D912">
        <v>6</v>
      </c>
      <c r="E912" t="s">
        <v>26</v>
      </c>
      <c r="F912" t="s">
        <v>24</v>
      </c>
      <c r="G912" s="3">
        <v>345</v>
      </c>
      <c r="H912" s="3">
        <v>167.6</v>
      </c>
      <c r="I912" s="3">
        <v>57822</v>
      </c>
      <c r="J912" s="3">
        <v>12.8</v>
      </c>
    </row>
    <row r="913" spans="1:10" x14ac:dyDescent="0.25">
      <c r="A913" s="2">
        <v>45467</v>
      </c>
      <c r="B913">
        <v>2024</v>
      </c>
      <c r="C913" t="s">
        <v>30</v>
      </c>
      <c r="D913">
        <v>6</v>
      </c>
      <c r="E913" t="s">
        <v>26</v>
      </c>
      <c r="F913" t="s">
        <v>16</v>
      </c>
      <c r="G913" s="3">
        <v>272</v>
      </c>
      <c r="H913" s="3">
        <v>103.99</v>
      </c>
      <c r="I913" s="3">
        <v>28285.279999999999</v>
      </c>
      <c r="J913" s="3">
        <v>17.670000000000002</v>
      </c>
    </row>
    <row r="914" spans="1:10" x14ac:dyDescent="0.25">
      <c r="A914" s="2">
        <v>45497</v>
      </c>
      <c r="B914">
        <v>2024</v>
      </c>
      <c r="C914" t="s">
        <v>31</v>
      </c>
      <c r="D914">
        <v>7</v>
      </c>
      <c r="E914" t="s">
        <v>13</v>
      </c>
      <c r="F914" t="s">
        <v>25</v>
      </c>
      <c r="G914" s="3">
        <v>433</v>
      </c>
      <c r="H914" s="3">
        <v>143.72999999999999</v>
      </c>
      <c r="I914" s="3">
        <v>62235.09</v>
      </c>
      <c r="J914" s="3">
        <v>-14.02</v>
      </c>
    </row>
    <row r="915" spans="1:10" x14ac:dyDescent="0.25">
      <c r="A915" s="2">
        <v>45497</v>
      </c>
      <c r="B915">
        <v>2024</v>
      </c>
      <c r="C915" t="s">
        <v>31</v>
      </c>
      <c r="D915">
        <v>7</v>
      </c>
      <c r="E915" t="s">
        <v>13</v>
      </c>
      <c r="F915" t="s">
        <v>14</v>
      </c>
      <c r="G915" s="3">
        <v>243</v>
      </c>
      <c r="H915" s="3">
        <v>80.010000000000005</v>
      </c>
      <c r="I915" s="3">
        <v>19442.43</v>
      </c>
      <c r="J915" s="3">
        <v>14.32</v>
      </c>
    </row>
    <row r="916" spans="1:10" x14ac:dyDescent="0.25">
      <c r="A916" s="2">
        <v>45497</v>
      </c>
      <c r="B916">
        <v>2024</v>
      </c>
      <c r="C916" t="s">
        <v>31</v>
      </c>
      <c r="D916">
        <v>7</v>
      </c>
      <c r="E916" t="s">
        <v>13</v>
      </c>
      <c r="F916" t="s">
        <v>15</v>
      </c>
      <c r="G916" s="3">
        <v>335</v>
      </c>
      <c r="H916" s="3">
        <v>192.34</v>
      </c>
      <c r="I916" s="3">
        <v>64433.9</v>
      </c>
      <c r="J916" s="3">
        <v>-14.65</v>
      </c>
    </row>
    <row r="917" spans="1:10" x14ac:dyDescent="0.25">
      <c r="A917" s="2">
        <v>45497</v>
      </c>
      <c r="B917">
        <v>2024</v>
      </c>
      <c r="C917" t="s">
        <v>31</v>
      </c>
      <c r="D917">
        <v>7</v>
      </c>
      <c r="E917" t="s">
        <v>13</v>
      </c>
      <c r="F917" t="s">
        <v>16</v>
      </c>
      <c r="G917" s="3">
        <v>68</v>
      </c>
      <c r="H917" s="3">
        <v>56.12</v>
      </c>
      <c r="I917" s="3">
        <v>3816.16</v>
      </c>
      <c r="J917" s="3">
        <v>24.79</v>
      </c>
    </row>
    <row r="918" spans="1:10" x14ac:dyDescent="0.25">
      <c r="A918" s="2">
        <v>45497</v>
      </c>
      <c r="B918">
        <v>2024</v>
      </c>
      <c r="C918" t="s">
        <v>31</v>
      </c>
      <c r="D918">
        <v>7</v>
      </c>
      <c r="E918" t="s">
        <v>13</v>
      </c>
      <c r="F918" t="s">
        <v>17</v>
      </c>
      <c r="G918" s="3">
        <v>537</v>
      </c>
      <c r="H918" s="3">
        <v>73.03</v>
      </c>
      <c r="I918" s="3">
        <v>39217.11</v>
      </c>
      <c r="J918" s="3">
        <v>-14.43</v>
      </c>
    </row>
    <row r="919" spans="1:10" x14ac:dyDescent="0.25">
      <c r="A919" s="2">
        <v>45497</v>
      </c>
      <c r="B919">
        <v>2024</v>
      </c>
      <c r="C919" t="s">
        <v>31</v>
      </c>
      <c r="D919">
        <v>7</v>
      </c>
      <c r="E919" t="s">
        <v>13</v>
      </c>
      <c r="F919" t="s">
        <v>18</v>
      </c>
      <c r="G919" s="3">
        <v>114</v>
      </c>
      <c r="H919" s="3">
        <v>81.52</v>
      </c>
      <c r="I919" s="3">
        <v>9293.2800000000007</v>
      </c>
      <c r="J919" s="3">
        <v>10.32</v>
      </c>
    </row>
    <row r="920" spans="1:10" x14ac:dyDescent="0.25">
      <c r="A920" s="2">
        <v>45497</v>
      </c>
      <c r="B920">
        <v>2024</v>
      </c>
      <c r="C920" t="s">
        <v>31</v>
      </c>
      <c r="D920">
        <v>7</v>
      </c>
      <c r="E920" t="s">
        <v>13</v>
      </c>
      <c r="F920" t="s">
        <v>19</v>
      </c>
      <c r="G920" s="3">
        <v>598</v>
      </c>
      <c r="H920" s="3">
        <v>21.02</v>
      </c>
      <c r="I920" s="3">
        <v>12569.96</v>
      </c>
      <c r="J920" s="3">
        <v>22.48</v>
      </c>
    </row>
    <row r="921" spans="1:10" x14ac:dyDescent="0.25">
      <c r="A921" s="2">
        <v>45497</v>
      </c>
      <c r="B921">
        <v>2024</v>
      </c>
      <c r="C921" t="s">
        <v>31</v>
      </c>
      <c r="D921">
        <v>7</v>
      </c>
      <c r="E921" t="s">
        <v>13</v>
      </c>
      <c r="F921" t="s">
        <v>20</v>
      </c>
      <c r="G921" s="3">
        <v>237</v>
      </c>
      <c r="H921" s="3">
        <v>138.54</v>
      </c>
      <c r="I921" s="3">
        <v>32833.980000000003</v>
      </c>
      <c r="J921" s="3">
        <v>15.64</v>
      </c>
    </row>
    <row r="922" spans="1:10" x14ac:dyDescent="0.25">
      <c r="A922" s="2">
        <v>45497</v>
      </c>
      <c r="B922">
        <v>2024</v>
      </c>
      <c r="C922" t="s">
        <v>31</v>
      </c>
      <c r="D922">
        <v>7</v>
      </c>
      <c r="E922" t="s">
        <v>13</v>
      </c>
      <c r="F922" t="s">
        <v>21</v>
      </c>
      <c r="G922" s="3">
        <v>725</v>
      </c>
      <c r="H922" s="3">
        <v>146.01</v>
      </c>
      <c r="I922" s="3">
        <v>105857.25</v>
      </c>
      <c r="J922" s="3">
        <v>-10.82</v>
      </c>
    </row>
    <row r="923" spans="1:10" x14ac:dyDescent="0.25">
      <c r="A923" s="2">
        <v>45497</v>
      </c>
      <c r="B923">
        <v>2024</v>
      </c>
      <c r="C923" t="s">
        <v>31</v>
      </c>
      <c r="D923">
        <v>7</v>
      </c>
      <c r="E923" t="s">
        <v>13</v>
      </c>
      <c r="F923" t="s">
        <v>22</v>
      </c>
      <c r="G923" s="3">
        <v>584</v>
      </c>
      <c r="H923" s="3">
        <v>107.77</v>
      </c>
      <c r="I923" s="3">
        <v>62937.68</v>
      </c>
      <c r="J923" s="3">
        <v>-11.89</v>
      </c>
    </row>
    <row r="924" spans="1:10" x14ac:dyDescent="0.25">
      <c r="A924" s="2">
        <v>45497</v>
      </c>
      <c r="B924">
        <v>2024</v>
      </c>
      <c r="C924" t="s">
        <v>31</v>
      </c>
      <c r="D924">
        <v>7</v>
      </c>
      <c r="E924" t="s">
        <v>23</v>
      </c>
      <c r="F924" t="s">
        <v>12</v>
      </c>
      <c r="G924" s="3">
        <v>124</v>
      </c>
      <c r="H924" s="3">
        <v>82.79</v>
      </c>
      <c r="I924" s="3">
        <v>10265.959999999999</v>
      </c>
      <c r="J924" s="3">
        <v>-10.56</v>
      </c>
    </row>
    <row r="925" spans="1:10" x14ac:dyDescent="0.25">
      <c r="A925" s="2">
        <v>45497</v>
      </c>
      <c r="B925">
        <v>2024</v>
      </c>
      <c r="C925" t="s">
        <v>31</v>
      </c>
      <c r="D925">
        <v>7</v>
      </c>
      <c r="E925" t="s">
        <v>23</v>
      </c>
      <c r="F925" t="s">
        <v>25</v>
      </c>
      <c r="G925" s="3">
        <v>452</v>
      </c>
      <c r="H925" s="3">
        <v>84.41</v>
      </c>
      <c r="I925" s="3">
        <v>38153.32</v>
      </c>
      <c r="J925" s="3">
        <v>10.91</v>
      </c>
    </row>
    <row r="926" spans="1:10" x14ac:dyDescent="0.25">
      <c r="A926" s="2">
        <v>45497</v>
      </c>
      <c r="B926">
        <v>2024</v>
      </c>
      <c r="C926" t="s">
        <v>31</v>
      </c>
      <c r="D926">
        <v>7</v>
      </c>
      <c r="E926" t="s">
        <v>23</v>
      </c>
      <c r="F926" t="s">
        <v>14</v>
      </c>
      <c r="G926" s="3">
        <v>94</v>
      </c>
      <c r="H926" s="3">
        <v>191.92</v>
      </c>
      <c r="I926" s="3">
        <v>18040.48</v>
      </c>
      <c r="J926" s="3">
        <v>5.9</v>
      </c>
    </row>
    <row r="927" spans="1:10" x14ac:dyDescent="0.25">
      <c r="A927" s="2">
        <v>45497</v>
      </c>
      <c r="B927">
        <v>2024</v>
      </c>
      <c r="C927" t="s">
        <v>31</v>
      </c>
      <c r="D927">
        <v>7</v>
      </c>
      <c r="E927" t="s">
        <v>23</v>
      </c>
      <c r="F927" t="s">
        <v>15</v>
      </c>
      <c r="G927" s="3">
        <v>577</v>
      </c>
      <c r="H927" s="3">
        <v>142.71</v>
      </c>
      <c r="I927" s="3">
        <v>82343.67</v>
      </c>
      <c r="J927" s="3">
        <v>-10.48</v>
      </c>
    </row>
    <row r="928" spans="1:10" x14ac:dyDescent="0.25">
      <c r="A928" s="2">
        <v>45497</v>
      </c>
      <c r="B928">
        <v>2024</v>
      </c>
      <c r="C928" t="s">
        <v>31</v>
      </c>
      <c r="D928">
        <v>7</v>
      </c>
      <c r="E928" t="s">
        <v>23</v>
      </c>
      <c r="F928" t="s">
        <v>16</v>
      </c>
      <c r="G928" s="3">
        <v>211</v>
      </c>
      <c r="H928" s="3">
        <v>163.01</v>
      </c>
      <c r="I928" s="3">
        <v>34395.11</v>
      </c>
      <c r="J928" s="3">
        <v>13.28</v>
      </c>
    </row>
    <row r="929" spans="1:10" x14ac:dyDescent="0.25">
      <c r="A929" s="2">
        <v>45497</v>
      </c>
      <c r="B929">
        <v>2024</v>
      </c>
      <c r="C929" t="s">
        <v>31</v>
      </c>
      <c r="D929">
        <v>7</v>
      </c>
      <c r="E929" t="s">
        <v>23</v>
      </c>
      <c r="F929" t="s">
        <v>17</v>
      </c>
      <c r="G929" s="3">
        <v>237</v>
      </c>
      <c r="H929" s="3">
        <v>46.14</v>
      </c>
      <c r="I929" s="3">
        <v>10935.18</v>
      </c>
      <c r="J929" s="3">
        <v>13.4</v>
      </c>
    </row>
    <row r="930" spans="1:10" x14ac:dyDescent="0.25">
      <c r="A930" s="2">
        <v>45497</v>
      </c>
      <c r="B930">
        <v>2024</v>
      </c>
      <c r="C930" t="s">
        <v>31</v>
      </c>
      <c r="D930">
        <v>7</v>
      </c>
      <c r="E930" t="s">
        <v>23</v>
      </c>
      <c r="F930" t="s">
        <v>18</v>
      </c>
      <c r="G930" s="3">
        <v>233</v>
      </c>
      <c r="H930" s="3">
        <v>73.150000000000006</v>
      </c>
      <c r="I930" s="3">
        <v>17043.95</v>
      </c>
      <c r="J930" s="3">
        <v>-5.7</v>
      </c>
    </row>
    <row r="931" spans="1:10" x14ac:dyDescent="0.25">
      <c r="A931" s="2">
        <v>45497</v>
      </c>
      <c r="B931">
        <v>2024</v>
      </c>
      <c r="C931" t="s">
        <v>31</v>
      </c>
      <c r="D931">
        <v>7</v>
      </c>
      <c r="E931" t="s">
        <v>23</v>
      </c>
      <c r="F931" t="s">
        <v>19</v>
      </c>
      <c r="G931" s="3">
        <v>344</v>
      </c>
      <c r="H931" s="3">
        <v>92.24</v>
      </c>
      <c r="I931" s="3">
        <v>31730.560000000001</v>
      </c>
      <c r="J931" s="3">
        <v>-3.3</v>
      </c>
    </row>
    <row r="932" spans="1:10" x14ac:dyDescent="0.25">
      <c r="A932" s="2">
        <v>45497</v>
      </c>
      <c r="B932">
        <v>2024</v>
      </c>
      <c r="C932" t="s">
        <v>31</v>
      </c>
      <c r="D932">
        <v>7</v>
      </c>
      <c r="E932" t="s">
        <v>23</v>
      </c>
      <c r="F932" t="s">
        <v>20</v>
      </c>
      <c r="G932" s="3">
        <v>681</v>
      </c>
      <c r="H932" s="3">
        <v>92.92</v>
      </c>
      <c r="I932" s="3">
        <v>63278.52</v>
      </c>
      <c r="J932" s="3">
        <v>21.24</v>
      </c>
    </row>
    <row r="933" spans="1:10" x14ac:dyDescent="0.25">
      <c r="A933" s="2">
        <v>45497</v>
      </c>
      <c r="B933">
        <v>2024</v>
      </c>
      <c r="C933" t="s">
        <v>31</v>
      </c>
      <c r="D933">
        <v>7</v>
      </c>
      <c r="E933" t="s">
        <v>23</v>
      </c>
      <c r="F933" t="s">
        <v>21</v>
      </c>
      <c r="G933" s="3">
        <v>782</v>
      </c>
      <c r="H933" s="3">
        <v>124.99</v>
      </c>
      <c r="I933" s="3">
        <v>97742.18</v>
      </c>
      <c r="J933" s="3">
        <v>18.690000000000001</v>
      </c>
    </row>
    <row r="934" spans="1:10" x14ac:dyDescent="0.25">
      <c r="A934" s="2">
        <v>45497</v>
      </c>
      <c r="B934">
        <v>2024</v>
      </c>
      <c r="C934" t="s">
        <v>31</v>
      </c>
      <c r="D934">
        <v>7</v>
      </c>
      <c r="E934" t="s">
        <v>23</v>
      </c>
      <c r="F934" t="s">
        <v>22</v>
      </c>
      <c r="G934" s="3">
        <v>282</v>
      </c>
      <c r="H934" s="3">
        <v>59.47</v>
      </c>
      <c r="I934" s="3">
        <v>16770.54</v>
      </c>
      <c r="J934" s="3">
        <v>-13.65</v>
      </c>
    </row>
    <row r="935" spans="1:10" x14ac:dyDescent="0.25">
      <c r="A935" s="2">
        <v>45497</v>
      </c>
      <c r="B935">
        <v>2024</v>
      </c>
      <c r="C935" t="s">
        <v>31</v>
      </c>
      <c r="D935">
        <v>7</v>
      </c>
      <c r="E935" t="s">
        <v>13</v>
      </c>
      <c r="F935" t="s">
        <v>24</v>
      </c>
      <c r="G935" s="3">
        <v>369</v>
      </c>
      <c r="H935" s="3">
        <v>73.89</v>
      </c>
      <c r="I935" s="3">
        <v>27265.41</v>
      </c>
      <c r="J935" s="3">
        <v>-0.65</v>
      </c>
    </row>
    <row r="936" spans="1:10" x14ac:dyDescent="0.25">
      <c r="A936" s="2">
        <v>45497</v>
      </c>
      <c r="B936">
        <v>2024</v>
      </c>
      <c r="C936" t="s">
        <v>31</v>
      </c>
      <c r="D936">
        <v>7</v>
      </c>
      <c r="E936" t="s">
        <v>23</v>
      </c>
      <c r="F936" t="s">
        <v>24</v>
      </c>
      <c r="G936" s="3">
        <v>237</v>
      </c>
      <c r="H936" s="3">
        <v>123.87</v>
      </c>
      <c r="I936" s="3">
        <v>29357.19</v>
      </c>
      <c r="J936" s="3">
        <v>12.91</v>
      </c>
    </row>
    <row r="937" spans="1:10" x14ac:dyDescent="0.25">
      <c r="A937" s="2">
        <v>45497</v>
      </c>
      <c r="B937">
        <v>2024</v>
      </c>
      <c r="C937" t="s">
        <v>31</v>
      </c>
      <c r="D937">
        <v>7</v>
      </c>
      <c r="E937" t="s">
        <v>13</v>
      </c>
      <c r="F937" t="s">
        <v>12</v>
      </c>
      <c r="G937" s="3">
        <v>732</v>
      </c>
      <c r="H937" s="3">
        <v>176.97</v>
      </c>
      <c r="I937" s="3">
        <v>129542.04</v>
      </c>
      <c r="J937" s="3">
        <v>6.09</v>
      </c>
    </row>
    <row r="938" spans="1:10" x14ac:dyDescent="0.25">
      <c r="A938" s="2">
        <v>45497</v>
      </c>
      <c r="B938">
        <v>2024</v>
      </c>
      <c r="C938" t="s">
        <v>31</v>
      </c>
      <c r="D938">
        <v>7</v>
      </c>
      <c r="E938" t="s">
        <v>26</v>
      </c>
      <c r="F938" t="s">
        <v>25</v>
      </c>
      <c r="G938" s="3">
        <v>163</v>
      </c>
      <c r="H938" s="3">
        <v>105.83</v>
      </c>
      <c r="I938" s="3">
        <v>17250.29</v>
      </c>
      <c r="J938" s="3">
        <v>12.51</v>
      </c>
    </row>
    <row r="939" spans="1:10" x14ac:dyDescent="0.25">
      <c r="A939" s="2">
        <v>45497</v>
      </c>
      <c r="B939">
        <v>2024</v>
      </c>
      <c r="C939" t="s">
        <v>31</v>
      </c>
      <c r="D939">
        <v>7</v>
      </c>
      <c r="E939" t="s">
        <v>26</v>
      </c>
      <c r="F939" t="s">
        <v>22</v>
      </c>
      <c r="G939" s="3">
        <v>543</v>
      </c>
      <c r="H939" s="3">
        <v>59.73</v>
      </c>
      <c r="I939" s="3">
        <v>32433.39</v>
      </c>
      <c r="J939" s="3">
        <v>14.36</v>
      </c>
    </row>
    <row r="940" spans="1:10" x14ac:dyDescent="0.25">
      <c r="A940" s="2">
        <v>45497</v>
      </c>
      <c r="B940">
        <v>2024</v>
      </c>
      <c r="C940" t="s">
        <v>31</v>
      </c>
      <c r="D940">
        <v>7</v>
      </c>
      <c r="E940" t="s">
        <v>11</v>
      </c>
      <c r="F940" t="s">
        <v>12</v>
      </c>
      <c r="G940" s="3">
        <v>548</v>
      </c>
      <c r="H940" s="3">
        <v>49.74</v>
      </c>
      <c r="I940" s="3">
        <v>27257.52</v>
      </c>
      <c r="J940" s="3">
        <v>8.32</v>
      </c>
    </row>
    <row r="941" spans="1:10" x14ac:dyDescent="0.25">
      <c r="A941" s="2">
        <v>45497</v>
      </c>
      <c r="B941">
        <v>2024</v>
      </c>
      <c r="C941" t="s">
        <v>31</v>
      </c>
      <c r="D941">
        <v>7</v>
      </c>
      <c r="E941" t="s">
        <v>11</v>
      </c>
      <c r="F941" t="s">
        <v>24</v>
      </c>
      <c r="G941" s="3">
        <v>686</v>
      </c>
      <c r="H941" s="3">
        <v>99.93</v>
      </c>
      <c r="I941" s="3">
        <v>68551.98</v>
      </c>
      <c r="J941" s="3">
        <v>10.050000000000001</v>
      </c>
    </row>
    <row r="942" spans="1:10" x14ac:dyDescent="0.25">
      <c r="A942" s="2">
        <v>45497</v>
      </c>
      <c r="B942">
        <v>2024</v>
      </c>
      <c r="C942" t="s">
        <v>31</v>
      </c>
      <c r="D942">
        <v>7</v>
      </c>
      <c r="E942" t="s">
        <v>11</v>
      </c>
      <c r="F942" t="s">
        <v>14</v>
      </c>
      <c r="G942" s="3">
        <v>188</v>
      </c>
      <c r="H942" s="3">
        <v>57.32</v>
      </c>
      <c r="I942" s="3">
        <v>10776.16</v>
      </c>
      <c r="J942" s="3">
        <v>16.3</v>
      </c>
    </row>
    <row r="943" spans="1:10" x14ac:dyDescent="0.25">
      <c r="A943" s="2">
        <v>45497</v>
      </c>
      <c r="B943">
        <v>2024</v>
      </c>
      <c r="C943" t="s">
        <v>31</v>
      </c>
      <c r="D943">
        <v>7</v>
      </c>
      <c r="E943" t="s">
        <v>11</v>
      </c>
      <c r="F943" t="s">
        <v>15</v>
      </c>
      <c r="G943" s="3">
        <v>148</v>
      </c>
      <c r="H943" s="3">
        <v>178.46</v>
      </c>
      <c r="I943" s="3">
        <v>26412.080000000002</v>
      </c>
      <c r="J943" s="3">
        <v>9.94</v>
      </c>
    </row>
    <row r="944" spans="1:10" x14ac:dyDescent="0.25">
      <c r="A944" s="2">
        <v>45497</v>
      </c>
      <c r="B944">
        <v>2024</v>
      </c>
      <c r="C944" t="s">
        <v>31</v>
      </c>
      <c r="D944">
        <v>7</v>
      </c>
      <c r="E944" t="s">
        <v>11</v>
      </c>
      <c r="F944" t="s">
        <v>16</v>
      </c>
      <c r="G944" s="3">
        <v>713</v>
      </c>
      <c r="H944" s="3">
        <v>131.72</v>
      </c>
      <c r="I944" s="3">
        <v>93916.36</v>
      </c>
      <c r="J944" s="3">
        <v>-6.95</v>
      </c>
    </row>
    <row r="945" spans="1:10" x14ac:dyDescent="0.25">
      <c r="A945" s="2">
        <v>45497</v>
      </c>
      <c r="B945">
        <v>2024</v>
      </c>
      <c r="C945" t="s">
        <v>31</v>
      </c>
      <c r="D945">
        <v>7</v>
      </c>
      <c r="E945" t="s">
        <v>11</v>
      </c>
      <c r="F945" t="s">
        <v>17</v>
      </c>
      <c r="G945" s="3">
        <v>569</v>
      </c>
      <c r="H945" s="3">
        <v>27.1</v>
      </c>
      <c r="I945" s="3">
        <v>15419.9</v>
      </c>
      <c r="J945" s="3">
        <v>4.0199999999999996</v>
      </c>
    </row>
    <row r="946" spans="1:10" x14ac:dyDescent="0.25">
      <c r="A946" s="2">
        <v>45497</v>
      </c>
      <c r="B946">
        <v>2024</v>
      </c>
      <c r="C946" t="s">
        <v>31</v>
      </c>
      <c r="D946">
        <v>7</v>
      </c>
      <c r="E946" t="s">
        <v>11</v>
      </c>
      <c r="F946" t="s">
        <v>19</v>
      </c>
      <c r="G946" s="3">
        <v>140</v>
      </c>
      <c r="H946" s="3">
        <v>183.7</v>
      </c>
      <c r="I946" s="3">
        <v>25718</v>
      </c>
      <c r="J946" s="3">
        <v>13.89</v>
      </c>
    </row>
    <row r="947" spans="1:10" x14ac:dyDescent="0.25">
      <c r="A947" s="2">
        <v>45497</v>
      </c>
      <c r="B947">
        <v>2024</v>
      </c>
      <c r="C947" t="s">
        <v>31</v>
      </c>
      <c r="D947">
        <v>7</v>
      </c>
      <c r="E947" t="s">
        <v>11</v>
      </c>
      <c r="F947" t="s">
        <v>20</v>
      </c>
      <c r="G947" s="3">
        <v>734</v>
      </c>
      <c r="H947" s="3">
        <v>102.52</v>
      </c>
      <c r="I947" s="3">
        <v>75249.679999999993</v>
      </c>
      <c r="J947" s="3">
        <v>-13.48</v>
      </c>
    </row>
    <row r="948" spans="1:10" x14ac:dyDescent="0.25">
      <c r="A948" s="2">
        <v>45497</v>
      </c>
      <c r="B948">
        <v>2024</v>
      </c>
      <c r="C948" t="s">
        <v>31</v>
      </c>
      <c r="D948">
        <v>7</v>
      </c>
      <c r="E948" t="s">
        <v>11</v>
      </c>
      <c r="F948" t="s">
        <v>21</v>
      </c>
      <c r="G948" s="3">
        <v>444</v>
      </c>
      <c r="H948" s="3">
        <v>118.88</v>
      </c>
      <c r="I948" s="3">
        <v>52782.720000000001</v>
      </c>
      <c r="J948" s="3">
        <v>-12.69</v>
      </c>
    </row>
    <row r="949" spans="1:10" x14ac:dyDescent="0.25">
      <c r="A949" s="2">
        <v>45497</v>
      </c>
      <c r="B949">
        <v>2024</v>
      </c>
      <c r="C949" t="s">
        <v>31</v>
      </c>
      <c r="D949">
        <v>7</v>
      </c>
      <c r="E949" t="s">
        <v>11</v>
      </c>
      <c r="F949" t="s">
        <v>22</v>
      </c>
      <c r="G949" s="3">
        <v>233</v>
      </c>
      <c r="H949" s="3">
        <v>69.64</v>
      </c>
      <c r="I949" s="3">
        <v>16226.12</v>
      </c>
      <c r="J949" s="3">
        <v>20.079999999999998</v>
      </c>
    </row>
    <row r="950" spans="1:10" x14ac:dyDescent="0.25">
      <c r="A950" s="2">
        <v>45497</v>
      </c>
      <c r="B950">
        <v>2024</v>
      </c>
      <c r="C950" t="s">
        <v>31</v>
      </c>
      <c r="D950">
        <v>7</v>
      </c>
      <c r="E950" t="s">
        <v>11</v>
      </c>
      <c r="F950" t="s">
        <v>18</v>
      </c>
      <c r="G950" s="3">
        <v>213</v>
      </c>
      <c r="H950" s="3">
        <v>183.25</v>
      </c>
      <c r="I950" s="3">
        <v>39032.25</v>
      </c>
      <c r="J950" s="3">
        <v>-9.7100000000000009</v>
      </c>
    </row>
    <row r="951" spans="1:10" x14ac:dyDescent="0.25">
      <c r="A951" s="2">
        <v>45497</v>
      </c>
      <c r="B951">
        <v>2024</v>
      </c>
      <c r="C951" t="s">
        <v>31</v>
      </c>
      <c r="D951">
        <v>7</v>
      </c>
      <c r="E951" t="s">
        <v>26</v>
      </c>
      <c r="F951" t="s">
        <v>12</v>
      </c>
      <c r="G951" s="3">
        <v>715</v>
      </c>
      <c r="H951" s="3">
        <v>196.58</v>
      </c>
      <c r="I951" s="3">
        <v>140554.70000000001</v>
      </c>
      <c r="J951" s="3">
        <v>4.34</v>
      </c>
    </row>
    <row r="952" spans="1:10" x14ac:dyDescent="0.25">
      <c r="A952" s="2">
        <v>45497</v>
      </c>
      <c r="B952">
        <v>2024</v>
      </c>
      <c r="C952" t="s">
        <v>31</v>
      </c>
      <c r="D952">
        <v>7</v>
      </c>
      <c r="E952" t="s">
        <v>11</v>
      </c>
      <c r="F952" t="s">
        <v>25</v>
      </c>
      <c r="G952" s="3">
        <v>573</v>
      </c>
      <c r="H952" s="3">
        <v>194.53</v>
      </c>
      <c r="I952" s="3">
        <v>111465.69</v>
      </c>
      <c r="J952" s="3">
        <v>22.96</v>
      </c>
    </row>
    <row r="953" spans="1:10" x14ac:dyDescent="0.25">
      <c r="A953" s="2">
        <v>45497</v>
      </c>
      <c r="B953">
        <v>2024</v>
      </c>
      <c r="C953" t="s">
        <v>31</v>
      </c>
      <c r="D953">
        <v>7</v>
      </c>
      <c r="E953" t="s">
        <v>26</v>
      </c>
      <c r="F953" t="s">
        <v>20</v>
      </c>
      <c r="G953" s="3">
        <v>786</v>
      </c>
      <c r="H953" s="3">
        <v>180.76</v>
      </c>
      <c r="I953" s="3">
        <v>142077.35999999999</v>
      </c>
      <c r="J953" s="3">
        <v>-12.5</v>
      </c>
    </row>
    <row r="954" spans="1:10" x14ac:dyDescent="0.25">
      <c r="A954" s="2">
        <v>45497</v>
      </c>
      <c r="B954">
        <v>2024</v>
      </c>
      <c r="C954" t="s">
        <v>31</v>
      </c>
      <c r="D954">
        <v>7</v>
      </c>
      <c r="E954" t="s">
        <v>26</v>
      </c>
      <c r="F954" t="s">
        <v>19</v>
      </c>
      <c r="G954" s="3">
        <v>165</v>
      </c>
      <c r="H954" s="3">
        <v>20.57</v>
      </c>
      <c r="I954" s="3">
        <v>3394.05</v>
      </c>
      <c r="J954" s="3">
        <v>10.61</v>
      </c>
    </row>
    <row r="955" spans="1:10" x14ac:dyDescent="0.25">
      <c r="A955" s="2">
        <v>45497</v>
      </c>
      <c r="B955">
        <v>2024</v>
      </c>
      <c r="C955" t="s">
        <v>31</v>
      </c>
      <c r="D955">
        <v>7</v>
      </c>
      <c r="E955" t="s">
        <v>26</v>
      </c>
      <c r="F955" t="s">
        <v>18</v>
      </c>
      <c r="G955" s="3">
        <v>414</v>
      </c>
      <c r="H955" s="3">
        <v>105.77</v>
      </c>
      <c r="I955" s="3">
        <v>43788.78</v>
      </c>
      <c r="J955" s="3">
        <v>24.84</v>
      </c>
    </row>
    <row r="956" spans="1:10" x14ac:dyDescent="0.25">
      <c r="A956" s="2">
        <v>45497</v>
      </c>
      <c r="B956">
        <v>2024</v>
      </c>
      <c r="C956" t="s">
        <v>31</v>
      </c>
      <c r="D956">
        <v>7</v>
      </c>
      <c r="E956" t="s">
        <v>26</v>
      </c>
      <c r="F956" t="s">
        <v>17</v>
      </c>
      <c r="G956" s="3">
        <v>780</v>
      </c>
      <c r="H956" s="3">
        <v>93.37</v>
      </c>
      <c r="I956" s="3">
        <v>72828.600000000006</v>
      </c>
      <c r="J956" s="3">
        <v>18.100000000000001</v>
      </c>
    </row>
    <row r="957" spans="1:10" x14ac:dyDescent="0.25">
      <c r="A957" s="2">
        <v>45497</v>
      </c>
      <c r="B957">
        <v>2024</v>
      </c>
      <c r="C957" t="s">
        <v>31</v>
      </c>
      <c r="D957">
        <v>7</v>
      </c>
      <c r="E957" t="s">
        <v>26</v>
      </c>
      <c r="F957" t="s">
        <v>21</v>
      </c>
      <c r="G957" s="3">
        <v>372</v>
      </c>
      <c r="H957" s="3">
        <v>100.7</v>
      </c>
      <c r="I957" s="3">
        <v>37460.400000000001</v>
      </c>
      <c r="J957" s="3">
        <v>5.42</v>
      </c>
    </row>
    <row r="958" spans="1:10" x14ac:dyDescent="0.25">
      <c r="A958" s="2">
        <v>45497</v>
      </c>
      <c r="B958">
        <v>2024</v>
      </c>
      <c r="C958" t="s">
        <v>31</v>
      </c>
      <c r="D958">
        <v>7</v>
      </c>
      <c r="E958" t="s">
        <v>26</v>
      </c>
      <c r="F958" t="s">
        <v>15</v>
      </c>
      <c r="G958" s="3">
        <v>456</v>
      </c>
      <c r="H958" s="3">
        <v>89.58</v>
      </c>
      <c r="I958" s="3">
        <v>40848.480000000003</v>
      </c>
      <c r="J958" s="3">
        <v>5.45</v>
      </c>
    </row>
    <row r="959" spans="1:10" x14ac:dyDescent="0.25">
      <c r="A959" s="2">
        <v>45497</v>
      </c>
      <c r="B959">
        <v>2024</v>
      </c>
      <c r="C959" t="s">
        <v>31</v>
      </c>
      <c r="D959">
        <v>7</v>
      </c>
      <c r="E959" t="s">
        <v>26</v>
      </c>
      <c r="F959" t="s">
        <v>14</v>
      </c>
      <c r="G959" s="3">
        <v>151</v>
      </c>
      <c r="H959" s="3">
        <v>114.04</v>
      </c>
      <c r="I959" s="3">
        <v>17220.04</v>
      </c>
      <c r="J959" s="3">
        <v>7.51</v>
      </c>
    </row>
    <row r="960" spans="1:10" x14ac:dyDescent="0.25">
      <c r="A960" s="2">
        <v>45497</v>
      </c>
      <c r="B960">
        <v>2024</v>
      </c>
      <c r="C960" t="s">
        <v>31</v>
      </c>
      <c r="D960">
        <v>7</v>
      </c>
      <c r="E960" t="s">
        <v>26</v>
      </c>
      <c r="F960" t="s">
        <v>24</v>
      </c>
      <c r="G960" s="3">
        <v>631</v>
      </c>
      <c r="H960" s="3">
        <v>125.97</v>
      </c>
      <c r="I960" s="3">
        <v>79487.070000000007</v>
      </c>
      <c r="J960" s="3">
        <v>0.01</v>
      </c>
    </row>
    <row r="961" spans="1:10" x14ac:dyDescent="0.25">
      <c r="A961" s="2">
        <v>45497</v>
      </c>
      <c r="B961">
        <v>2024</v>
      </c>
      <c r="C961" t="s">
        <v>31</v>
      </c>
      <c r="D961">
        <v>7</v>
      </c>
      <c r="E961" t="s">
        <v>26</v>
      </c>
      <c r="F961" t="s">
        <v>16</v>
      </c>
      <c r="G961" s="3">
        <v>548</v>
      </c>
      <c r="H961" s="3">
        <v>123.91</v>
      </c>
      <c r="I961" s="3">
        <v>67902.679999999993</v>
      </c>
      <c r="J961" s="3">
        <v>19.62</v>
      </c>
    </row>
    <row r="962" spans="1:10" x14ac:dyDescent="0.25">
      <c r="A962" s="2">
        <v>45527</v>
      </c>
      <c r="B962">
        <v>2024</v>
      </c>
      <c r="C962" t="s">
        <v>32</v>
      </c>
      <c r="D962">
        <v>8</v>
      </c>
      <c r="E962" t="s">
        <v>13</v>
      </c>
      <c r="F962" t="s">
        <v>25</v>
      </c>
      <c r="G962" s="3">
        <v>114</v>
      </c>
      <c r="H962" s="3">
        <v>180.24</v>
      </c>
      <c r="I962" s="3">
        <v>20547.36</v>
      </c>
      <c r="J962" s="3">
        <v>-3.5</v>
      </c>
    </row>
    <row r="963" spans="1:10" x14ac:dyDescent="0.25">
      <c r="A963" s="2">
        <v>45527</v>
      </c>
      <c r="B963">
        <v>2024</v>
      </c>
      <c r="C963" t="s">
        <v>32</v>
      </c>
      <c r="D963">
        <v>8</v>
      </c>
      <c r="E963" t="s">
        <v>13</v>
      </c>
      <c r="F963" t="s">
        <v>14</v>
      </c>
      <c r="G963" s="3">
        <v>404</v>
      </c>
      <c r="H963" s="3">
        <v>102.39</v>
      </c>
      <c r="I963" s="3">
        <v>41365.56</v>
      </c>
      <c r="J963" s="3">
        <v>-6.64</v>
      </c>
    </row>
    <row r="964" spans="1:10" x14ac:dyDescent="0.25">
      <c r="A964" s="2">
        <v>45527</v>
      </c>
      <c r="B964">
        <v>2024</v>
      </c>
      <c r="C964" t="s">
        <v>32</v>
      </c>
      <c r="D964">
        <v>8</v>
      </c>
      <c r="E964" t="s">
        <v>13</v>
      </c>
      <c r="F964" t="s">
        <v>15</v>
      </c>
      <c r="G964" s="3">
        <v>276</v>
      </c>
      <c r="H964" s="3">
        <v>86.57</v>
      </c>
      <c r="I964" s="3">
        <v>23893.32</v>
      </c>
      <c r="J964" s="3">
        <v>-12.91</v>
      </c>
    </row>
    <row r="965" spans="1:10" x14ac:dyDescent="0.25">
      <c r="A965" s="2">
        <v>45527</v>
      </c>
      <c r="B965">
        <v>2024</v>
      </c>
      <c r="C965" t="s">
        <v>32</v>
      </c>
      <c r="D965">
        <v>8</v>
      </c>
      <c r="E965" t="s">
        <v>13</v>
      </c>
      <c r="F965" t="s">
        <v>16</v>
      </c>
      <c r="G965" s="3">
        <v>62</v>
      </c>
      <c r="H965" s="3">
        <v>94.97</v>
      </c>
      <c r="I965" s="3">
        <v>5888.14</v>
      </c>
      <c r="J965" s="3">
        <v>17.89</v>
      </c>
    </row>
    <row r="966" spans="1:10" x14ac:dyDescent="0.25">
      <c r="A966" s="2">
        <v>45527</v>
      </c>
      <c r="B966">
        <v>2024</v>
      </c>
      <c r="C966" t="s">
        <v>32</v>
      </c>
      <c r="D966">
        <v>8</v>
      </c>
      <c r="E966" t="s">
        <v>13</v>
      </c>
      <c r="F966" t="s">
        <v>17</v>
      </c>
      <c r="G966" s="3">
        <v>80</v>
      </c>
      <c r="H966" s="3">
        <v>149.54</v>
      </c>
      <c r="I966" s="3">
        <v>11963.2</v>
      </c>
      <c r="J966" s="3">
        <v>-0.15</v>
      </c>
    </row>
    <row r="967" spans="1:10" x14ac:dyDescent="0.25">
      <c r="A967" s="2">
        <v>45527</v>
      </c>
      <c r="B967">
        <v>2024</v>
      </c>
      <c r="C967" t="s">
        <v>32</v>
      </c>
      <c r="D967">
        <v>8</v>
      </c>
      <c r="E967" t="s">
        <v>13</v>
      </c>
      <c r="F967" t="s">
        <v>18</v>
      </c>
      <c r="G967" s="3">
        <v>215</v>
      </c>
      <c r="H967" s="3">
        <v>105.01</v>
      </c>
      <c r="I967" s="3">
        <v>22577.15</v>
      </c>
      <c r="J967" s="3">
        <v>20.21</v>
      </c>
    </row>
    <row r="968" spans="1:10" x14ac:dyDescent="0.25">
      <c r="A968" s="2">
        <v>45527</v>
      </c>
      <c r="B968">
        <v>2024</v>
      </c>
      <c r="C968" t="s">
        <v>32</v>
      </c>
      <c r="D968">
        <v>8</v>
      </c>
      <c r="E968" t="s">
        <v>13</v>
      </c>
      <c r="F968" t="s">
        <v>19</v>
      </c>
      <c r="G968" s="3">
        <v>149</v>
      </c>
      <c r="H968" s="3">
        <v>142.01</v>
      </c>
      <c r="I968" s="3">
        <v>21159.49</v>
      </c>
      <c r="J968" s="3">
        <v>9.31</v>
      </c>
    </row>
    <row r="969" spans="1:10" x14ac:dyDescent="0.25">
      <c r="A969" s="2">
        <v>45527</v>
      </c>
      <c r="B969">
        <v>2024</v>
      </c>
      <c r="C969" t="s">
        <v>32</v>
      </c>
      <c r="D969">
        <v>8</v>
      </c>
      <c r="E969" t="s">
        <v>13</v>
      </c>
      <c r="F969" t="s">
        <v>20</v>
      </c>
      <c r="G969" s="3">
        <v>211</v>
      </c>
      <c r="H969" s="3">
        <v>91.05</v>
      </c>
      <c r="I969" s="3">
        <v>19211.55</v>
      </c>
      <c r="J969" s="3">
        <v>22.23</v>
      </c>
    </row>
    <row r="970" spans="1:10" x14ac:dyDescent="0.25">
      <c r="A970" s="2">
        <v>45527</v>
      </c>
      <c r="B970">
        <v>2024</v>
      </c>
      <c r="C970" t="s">
        <v>32</v>
      </c>
      <c r="D970">
        <v>8</v>
      </c>
      <c r="E970" t="s">
        <v>13</v>
      </c>
      <c r="F970" t="s">
        <v>21</v>
      </c>
      <c r="G970" s="3">
        <v>323</v>
      </c>
      <c r="H970" s="3">
        <v>152.68</v>
      </c>
      <c r="I970" s="3">
        <v>49315.64</v>
      </c>
      <c r="J970" s="3">
        <v>23.98</v>
      </c>
    </row>
    <row r="971" spans="1:10" x14ac:dyDescent="0.25">
      <c r="A971" s="2">
        <v>45527</v>
      </c>
      <c r="B971">
        <v>2024</v>
      </c>
      <c r="C971" t="s">
        <v>32</v>
      </c>
      <c r="D971">
        <v>8</v>
      </c>
      <c r="E971" t="s">
        <v>13</v>
      </c>
      <c r="F971" t="s">
        <v>22</v>
      </c>
      <c r="G971" s="3">
        <v>198</v>
      </c>
      <c r="H971" s="3">
        <v>142.79</v>
      </c>
      <c r="I971" s="3">
        <v>28272.42</v>
      </c>
      <c r="J971" s="3">
        <v>3.73</v>
      </c>
    </row>
    <row r="972" spans="1:10" x14ac:dyDescent="0.25">
      <c r="A972" s="2">
        <v>45527</v>
      </c>
      <c r="B972">
        <v>2024</v>
      </c>
      <c r="C972" t="s">
        <v>32</v>
      </c>
      <c r="D972">
        <v>8</v>
      </c>
      <c r="E972" t="s">
        <v>23</v>
      </c>
      <c r="F972" t="s">
        <v>12</v>
      </c>
      <c r="G972" s="3">
        <v>276</v>
      </c>
      <c r="H972" s="3">
        <v>140.04</v>
      </c>
      <c r="I972" s="3">
        <v>38651.040000000001</v>
      </c>
      <c r="J972" s="3">
        <v>17.93</v>
      </c>
    </row>
    <row r="973" spans="1:10" x14ac:dyDescent="0.25">
      <c r="A973" s="2">
        <v>45527</v>
      </c>
      <c r="B973">
        <v>2024</v>
      </c>
      <c r="C973" t="s">
        <v>32</v>
      </c>
      <c r="D973">
        <v>8</v>
      </c>
      <c r="E973" t="s">
        <v>23</v>
      </c>
      <c r="F973" t="s">
        <v>25</v>
      </c>
      <c r="G973" s="3">
        <v>783</v>
      </c>
      <c r="H973" s="3">
        <v>86.19</v>
      </c>
      <c r="I973" s="3">
        <v>67486.77</v>
      </c>
      <c r="J973" s="3">
        <v>-7.73</v>
      </c>
    </row>
    <row r="974" spans="1:10" x14ac:dyDescent="0.25">
      <c r="A974" s="2">
        <v>45527</v>
      </c>
      <c r="B974">
        <v>2024</v>
      </c>
      <c r="C974" t="s">
        <v>32</v>
      </c>
      <c r="D974">
        <v>8</v>
      </c>
      <c r="E974" t="s">
        <v>23</v>
      </c>
      <c r="F974" t="s">
        <v>14</v>
      </c>
      <c r="G974" s="3">
        <v>102</v>
      </c>
      <c r="H974" s="3">
        <v>143.85</v>
      </c>
      <c r="I974" s="3">
        <v>14672.7</v>
      </c>
      <c r="J974" s="3">
        <v>-5.32</v>
      </c>
    </row>
    <row r="975" spans="1:10" x14ac:dyDescent="0.25">
      <c r="A975" s="2">
        <v>45527</v>
      </c>
      <c r="B975">
        <v>2024</v>
      </c>
      <c r="C975" t="s">
        <v>32</v>
      </c>
      <c r="D975">
        <v>8</v>
      </c>
      <c r="E975" t="s">
        <v>23</v>
      </c>
      <c r="F975" t="s">
        <v>15</v>
      </c>
      <c r="G975" s="3">
        <v>151</v>
      </c>
      <c r="H975" s="3">
        <v>80.72</v>
      </c>
      <c r="I975" s="3">
        <v>12188.72</v>
      </c>
      <c r="J975" s="3">
        <v>-14.23</v>
      </c>
    </row>
    <row r="976" spans="1:10" x14ac:dyDescent="0.25">
      <c r="A976" s="2">
        <v>45527</v>
      </c>
      <c r="B976">
        <v>2024</v>
      </c>
      <c r="C976" t="s">
        <v>32</v>
      </c>
      <c r="D976">
        <v>8</v>
      </c>
      <c r="E976" t="s">
        <v>23</v>
      </c>
      <c r="F976" t="s">
        <v>16</v>
      </c>
      <c r="G976" s="3">
        <v>447</v>
      </c>
      <c r="H976" s="3">
        <v>94.46</v>
      </c>
      <c r="I976" s="3">
        <v>42223.62</v>
      </c>
      <c r="J976" s="3">
        <v>4.71</v>
      </c>
    </row>
    <row r="977" spans="1:10" x14ac:dyDescent="0.25">
      <c r="A977" s="2">
        <v>45527</v>
      </c>
      <c r="B977">
        <v>2024</v>
      </c>
      <c r="C977" t="s">
        <v>32</v>
      </c>
      <c r="D977">
        <v>8</v>
      </c>
      <c r="E977" t="s">
        <v>23</v>
      </c>
      <c r="F977" t="s">
        <v>17</v>
      </c>
      <c r="G977" s="3">
        <v>160</v>
      </c>
      <c r="H977" s="3">
        <v>79.44</v>
      </c>
      <c r="I977" s="3">
        <v>12710.4</v>
      </c>
      <c r="J977" s="3">
        <v>21.24</v>
      </c>
    </row>
    <row r="978" spans="1:10" x14ac:dyDescent="0.25">
      <c r="A978" s="2">
        <v>45527</v>
      </c>
      <c r="B978">
        <v>2024</v>
      </c>
      <c r="C978" t="s">
        <v>32</v>
      </c>
      <c r="D978">
        <v>8</v>
      </c>
      <c r="E978" t="s">
        <v>23</v>
      </c>
      <c r="F978" t="s">
        <v>18</v>
      </c>
      <c r="G978" s="3">
        <v>585</v>
      </c>
      <c r="H978" s="3">
        <v>150.47</v>
      </c>
      <c r="I978" s="3">
        <v>88024.95</v>
      </c>
      <c r="J978" s="3">
        <v>20.11</v>
      </c>
    </row>
    <row r="979" spans="1:10" x14ac:dyDescent="0.25">
      <c r="A979" s="2">
        <v>45527</v>
      </c>
      <c r="B979">
        <v>2024</v>
      </c>
      <c r="C979" t="s">
        <v>32</v>
      </c>
      <c r="D979">
        <v>8</v>
      </c>
      <c r="E979" t="s">
        <v>23</v>
      </c>
      <c r="F979" t="s">
        <v>19</v>
      </c>
      <c r="G979" s="3">
        <v>427</v>
      </c>
      <c r="H979" s="3">
        <v>113.43</v>
      </c>
      <c r="I979" s="3">
        <v>48434.61</v>
      </c>
      <c r="J979" s="3">
        <v>12.1</v>
      </c>
    </row>
    <row r="980" spans="1:10" x14ac:dyDescent="0.25">
      <c r="A980" s="2">
        <v>45527</v>
      </c>
      <c r="B980">
        <v>2024</v>
      </c>
      <c r="C980" t="s">
        <v>32</v>
      </c>
      <c r="D980">
        <v>8</v>
      </c>
      <c r="E980" t="s">
        <v>23</v>
      </c>
      <c r="F980" t="s">
        <v>20</v>
      </c>
      <c r="G980" s="3">
        <v>168</v>
      </c>
      <c r="H980" s="3">
        <v>159.32</v>
      </c>
      <c r="I980" s="3">
        <v>26765.759999999998</v>
      </c>
      <c r="J980" s="3">
        <v>15.92</v>
      </c>
    </row>
    <row r="981" spans="1:10" x14ac:dyDescent="0.25">
      <c r="A981" s="2">
        <v>45527</v>
      </c>
      <c r="B981">
        <v>2024</v>
      </c>
      <c r="C981" t="s">
        <v>32</v>
      </c>
      <c r="D981">
        <v>8</v>
      </c>
      <c r="E981" t="s">
        <v>23</v>
      </c>
      <c r="F981" t="s">
        <v>21</v>
      </c>
      <c r="G981" s="3">
        <v>153</v>
      </c>
      <c r="H981" s="3">
        <v>43.67</v>
      </c>
      <c r="I981" s="3">
        <v>6681.51</v>
      </c>
      <c r="J981" s="3">
        <v>19.29</v>
      </c>
    </row>
    <row r="982" spans="1:10" x14ac:dyDescent="0.25">
      <c r="A982" s="2">
        <v>45527</v>
      </c>
      <c r="B982">
        <v>2024</v>
      </c>
      <c r="C982" t="s">
        <v>32</v>
      </c>
      <c r="D982">
        <v>8</v>
      </c>
      <c r="E982" t="s">
        <v>23</v>
      </c>
      <c r="F982" t="s">
        <v>22</v>
      </c>
      <c r="G982" s="3">
        <v>551</v>
      </c>
      <c r="H982" s="3">
        <v>23.05</v>
      </c>
      <c r="I982" s="3">
        <v>12700.55</v>
      </c>
      <c r="J982" s="3">
        <v>15.81</v>
      </c>
    </row>
    <row r="983" spans="1:10" x14ac:dyDescent="0.25">
      <c r="A983" s="2">
        <v>45527</v>
      </c>
      <c r="B983">
        <v>2024</v>
      </c>
      <c r="C983" t="s">
        <v>32</v>
      </c>
      <c r="D983">
        <v>8</v>
      </c>
      <c r="E983" t="s">
        <v>13</v>
      </c>
      <c r="F983" t="s">
        <v>24</v>
      </c>
      <c r="G983" s="3">
        <v>353</v>
      </c>
      <c r="H983" s="3">
        <v>89.32</v>
      </c>
      <c r="I983" s="3">
        <v>31529.96</v>
      </c>
      <c r="J983" s="3">
        <v>19.63</v>
      </c>
    </row>
    <row r="984" spans="1:10" x14ac:dyDescent="0.25">
      <c r="A984" s="2">
        <v>45527</v>
      </c>
      <c r="B984">
        <v>2024</v>
      </c>
      <c r="C984" t="s">
        <v>32</v>
      </c>
      <c r="D984">
        <v>8</v>
      </c>
      <c r="E984" t="s">
        <v>23</v>
      </c>
      <c r="F984" t="s">
        <v>24</v>
      </c>
      <c r="G984" s="3">
        <v>103</v>
      </c>
      <c r="H984" s="3">
        <v>112.86</v>
      </c>
      <c r="I984" s="3">
        <v>11624.58</v>
      </c>
      <c r="J984" s="3">
        <v>-4.3</v>
      </c>
    </row>
    <row r="985" spans="1:10" x14ac:dyDescent="0.25">
      <c r="A985" s="2">
        <v>45527</v>
      </c>
      <c r="B985">
        <v>2024</v>
      </c>
      <c r="C985" t="s">
        <v>32</v>
      </c>
      <c r="D985">
        <v>8</v>
      </c>
      <c r="E985" t="s">
        <v>13</v>
      </c>
      <c r="F985" t="s">
        <v>12</v>
      </c>
      <c r="G985" s="3">
        <v>342</v>
      </c>
      <c r="H985" s="3">
        <v>28.67</v>
      </c>
      <c r="I985" s="3">
        <v>9805.14</v>
      </c>
      <c r="J985" s="3">
        <v>-0.6</v>
      </c>
    </row>
    <row r="986" spans="1:10" x14ac:dyDescent="0.25">
      <c r="A986" s="2">
        <v>45527</v>
      </c>
      <c r="B986">
        <v>2024</v>
      </c>
      <c r="C986" t="s">
        <v>32</v>
      </c>
      <c r="D986">
        <v>8</v>
      </c>
      <c r="E986" t="s">
        <v>26</v>
      </c>
      <c r="F986" t="s">
        <v>25</v>
      </c>
      <c r="G986" s="3">
        <v>582</v>
      </c>
      <c r="H986" s="3">
        <v>105.57</v>
      </c>
      <c r="I986" s="3">
        <v>61441.74</v>
      </c>
      <c r="J986" s="3">
        <v>10.37</v>
      </c>
    </row>
    <row r="987" spans="1:10" x14ac:dyDescent="0.25">
      <c r="A987" s="2">
        <v>45527</v>
      </c>
      <c r="B987">
        <v>2024</v>
      </c>
      <c r="C987" t="s">
        <v>32</v>
      </c>
      <c r="D987">
        <v>8</v>
      </c>
      <c r="E987" t="s">
        <v>26</v>
      </c>
      <c r="F987" t="s">
        <v>22</v>
      </c>
      <c r="G987" s="3">
        <v>501</v>
      </c>
      <c r="H987" s="3">
        <v>146.46</v>
      </c>
      <c r="I987" s="3">
        <v>73376.460000000006</v>
      </c>
      <c r="J987" s="3">
        <v>-3.08</v>
      </c>
    </row>
    <row r="988" spans="1:10" x14ac:dyDescent="0.25">
      <c r="A988" s="2">
        <v>45527</v>
      </c>
      <c r="B988">
        <v>2024</v>
      </c>
      <c r="C988" t="s">
        <v>32</v>
      </c>
      <c r="D988">
        <v>8</v>
      </c>
      <c r="E988" t="s">
        <v>11</v>
      </c>
      <c r="F988" t="s">
        <v>24</v>
      </c>
      <c r="G988" s="3">
        <v>593</v>
      </c>
      <c r="H988" s="3">
        <v>100.88</v>
      </c>
      <c r="I988" s="3">
        <v>59821.84</v>
      </c>
      <c r="J988" s="3">
        <v>8.43</v>
      </c>
    </row>
    <row r="989" spans="1:10" x14ac:dyDescent="0.25">
      <c r="A989" s="2">
        <v>45527</v>
      </c>
      <c r="B989">
        <v>2024</v>
      </c>
      <c r="C989" t="s">
        <v>32</v>
      </c>
      <c r="D989">
        <v>8</v>
      </c>
      <c r="E989" t="s">
        <v>11</v>
      </c>
      <c r="F989" t="s">
        <v>14</v>
      </c>
      <c r="G989" s="3">
        <v>505</v>
      </c>
      <c r="H989" s="3">
        <v>119.84</v>
      </c>
      <c r="I989" s="3">
        <v>60519.199999999997</v>
      </c>
      <c r="J989" s="3">
        <v>10.48</v>
      </c>
    </row>
    <row r="990" spans="1:10" x14ac:dyDescent="0.25">
      <c r="A990" s="2">
        <v>45527</v>
      </c>
      <c r="B990">
        <v>2024</v>
      </c>
      <c r="C990" t="s">
        <v>32</v>
      </c>
      <c r="D990">
        <v>8</v>
      </c>
      <c r="E990" t="s">
        <v>11</v>
      </c>
      <c r="F990" t="s">
        <v>15</v>
      </c>
      <c r="G990" s="3">
        <v>63</v>
      </c>
      <c r="H990" s="3">
        <v>103.37</v>
      </c>
      <c r="I990" s="3">
        <v>6512.31</v>
      </c>
      <c r="J990" s="3">
        <v>-5.61</v>
      </c>
    </row>
    <row r="991" spans="1:10" x14ac:dyDescent="0.25">
      <c r="A991" s="2">
        <v>45527</v>
      </c>
      <c r="B991">
        <v>2024</v>
      </c>
      <c r="C991" t="s">
        <v>32</v>
      </c>
      <c r="D991">
        <v>8</v>
      </c>
      <c r="E991" t="s">
        <v>11</v>
      </c>
      <c r="F991" t="s">
        <v>16</v>
      </c>
      <c r="G991" s="3">
        <v>102</v>
      </c>
      <c r="H991" s="3">
        <v>164.71</v>
      </c>
      <c r="I991" s="3">
        <v>16800.419999999998</v>
      </c>
      <c r="J991" s="3">
        <v>7.1</v>
      </c>
    </row>
    <row r="992" spans="1:10" x14ac:dyDescent="0.25">
      <c r="A992" s="2">
        <v>45527</v>
      </c>
      <c r="B992">
        <v>2024</v>
      </c>
      <c r="C992" t="s">
        <v>32</v>
      </c>
      <c r="D992">
        <v>8</v>
      </c>
      <c r="E992" t="s">
        <v>11</v>
      </c>
      <c r="F992" t="s">
        <v>17</v>
      </c>
      <c r="G992" s="3">
        <v>752</v>
      </c>
      <c r="H992" s="3">
        <v>41.59</v>
      </c>
      <c r="I992" s="3">
        <v>31275.68</v>
      </c>
      <c r="J992" s="3">
        <v>21.67</v>
      </c>
    </row>
    <row r="993" spans="1:10" x14ac:dyDescent="0.25">
      <c r="A993" s="2">
        <v>45527</v>
      </c>
      <c r="B993">
        <v>2024</v>
      </c>
      <c r="C993" t="s">
        <v>32</v>
      </c>
      <c r="D993">
        <v>8</v>
      </c>
      <c r="E993" t="s">
        <v>11</v>
      </c>
      <c r="F993" t="s">
        <v>18</v>
      </c>
      <c r="G993" s="3">
        <v>515</v>
      </c>
      <c r="H993" s="3">
        <v>92.26</v>
      </c>
      <c r="I993" s="3">
        <v>47513.9</v>
      </c>
      <c r="J993" s="3">
        <v>-8.66</v>
      </c>
    </row>
    <row r="994" spans="1:10" x14ac:dyDescent="0.25">
      <c r="A994" s="2">
        <v>45527</v>
      </c>
      <c r="B994">
        <v>2024</v>
      </c>
      <c r="C994" t="s">
        <v>32</v>
      </c>
      <c r="D994">
        <v>8</v>
      </c>
      <c r="E994" t="s">
        <v>11</v>
      </c>
      <c r="F994" t="s">
        <v>19</v>
      </c>
      <c r="G994" s="3">
        <v>339</v>
      </c>
      <c r="H994" s="3">
        <v>44.09</v>
      </c>
      <c r="I994" s="3">
        <v>14946.51</v>
      </c>
      <c r="J994" s="3">
        <v>10.18</v>
      </c>
    </row>
    <row r="995" spans="1:10" x14ac:dyDescent="0.25">
      <c r="A995" s="2">
        <v>45527</v>
      </c>
      <c r="B995">
        <v>2024</v>
      </c>
      <c r="C995" t="s">
        <v>32</v>
      </c>
      <c r="D995">
        <v>8</v>
      </c>
      <c r="E995" t="s">
        <v>11</v>
      </c>
      <c r="F995" t="s">
        <v>20</v>
      </c>
      <c r="G995" s="3">
        <v>124</v>
      </c>
      <c r="H995" s="3">
        <v>68.88</v>
      </c>
      <c r="I995" s="3">
        <v>8541.1200000000008</v>
      </c>
      <c r="J995" s="3">
        <v>1.1000000000000001</v>
      </c>
    </row>
    <row r="996" spans="1:10" x14ac:dyDescent="0.25">
      <c r="A996" s="2">
        <v>45527</v>
      </c>
      <c r="B996">
        <v>2024</v>
      </c>
      <c r="C996" t="s">
        <v>32</v>
      </c>
      <c r="D996">
        <v>8</v>
      </c>
      <c r="E996" t="s">
        <v>11</v>
      </c>
      <c r="F996" t="s">
        <v>21</v>
      </c>
      <c r="G996" s="3">
        <v>490</v>
      </c>
      <c r="H996" s="3">
        <v>20.02</v>
      </c>
      <c r="I996" s="3">
        <v>9809.7999999999993</v>
      </c>
      <c r="J996" s="3">
        <v>5.45</v>
      </c>
    </row>
    <row r="997" spans="1:10" x14ac:dyDescent="0.25">
      <c r="A997" s="2">
        <v>45527</v>
      </c>
      <c r="B997">
        <v>2024</v>
      </c>
      <c r="C997" t="s">
        <v>32</v>
      </c>
      <c r="D997">
        <v>8</v>
      </c>
      <c r="E997" t="s">
        <v>11</v>
      </c>
      <c r="F997" t="s">
        <v>22</v>
      </c>
      <c r="G997" s="3">
        <v>203</v>
      </c>
      <c r="H997" s="3">
        <v>148.71</v>
      </c>
      <c r="I997" s="3">
        <v>30188.13</v>
      </c>
      <c r="J997" s="3">
        <v>8.74</v>
      </c>
    </row>
    <row r="998" spans="1:10" x14ac:dyDescent="0.25">
      <c r="A998" s="2">
        <v>45527</v>
      </c>
      <c r="B998">
        <v>2024</v>
      </c>
      <c r="C998" t="s">
        <v>32</v>
      </c>
      <c r="D998">
        <v>8</v>
      </c>
      <c r="E998" t="s">
        <v>11</v>
      </c>
      <c r="F998" t="s">
        <v>12</v>
      </c>
      <c r="G998" s="3">
        <v>775</v>
      </c>
      <c r="H998" s="3">
        <v>53.81</v>
      </c>
      <c r="I998" s="3">
        <v>41702.75</v>
      </c>
      <c r="J998" s="3">
        <v>13.79</v>
      </c>
    </row>
    <row r="999" spans="1:10" x14ac:dyDescent="0.25">
      <c r="A999" s="2">
        <v>45527</v>
      </c>
      <c r="B999">
        <v>2024</v>
      </c>
      <c r="C999" t="s">
        <v>32</v>
      </c>
      <c r="D999">
        <v>8</v>
      </c>
      <c r="E999" t="s">
        <v>26</v>
      </c>
      <c r="F999" t="s">
        <v>12</v>
      </c>
      <c r="G999" s="3">
        <v>439</v>
      </c>
      <c r="H999" s="3">
        <v>64.430000000000007</v>
      </c>
      <c r="I999" s="3">
        <v>28284.77</v>
      </c>
      <c r="J999" s="3">
        <v>14.64</v>
      </c>
    </row>
    <row r="1000" spans="1:10" x14ac:dyDescent="0.25">
      <c r="A1000" s="2">
        <v>45527</v>
      </c>
      <c r="B1000">
        <v>2024</v>
      </c>
      <c r="C1000" t="s">
        <v>32</v>
      </c>
      <c r="D1000">
        <v>8</v>
      </c>
      <c r="E1000" t="s">
        <v>26</v>
      </c>
      <c r="F1000" t="s">
        <v>24</v>
      </c>
      <c r="G1000" s="3">
        <v>206</v>
      </c>
      <c r="H1000" s="3">
        <v>187.56</v>
      </c>
      <c r="I1000" s="3">
        <v>38637.360000000001</v>
      </c>
      <c r="J1000" s="3">
        <v>18.07</v>
      </c>
    </row>
    <row r="1001" spans="1:10" x14ac:dyDescent="0.25">
      <c r="A1001" s="2">
        <v>45527</v>
      </c>
      <c r="B1001">
        <v>2024</v>
      </c>
      <c r="C1001" t="s">
        <v>32</v>
      </c>
      <c r="D1001">
        <v>8</v>
      </c>
      <c r="E1001" t="s">
        <v>26</v>
      </c>
      <c r="F1001" t="s">
        <v>14</v>
      </c>
      <c r="G1001" s="3">
        <v>668</v>
      </c>
      <c r="H1001" s="3">
        <v>68.67</v>
      </c>
      <c r="I1001" s="3">
        <v>45871.56</v>
      </c>
      <c r="J1001" s="3">
        <v>18.71</v>
      </c>
    </row>
    <row r="1002" spans="1:10" x14ac:dyDescent="0.25">
      <c r="A1002" s="2">
        <v>45527</v>
      </c>
      <c r="B1002">
        <v>2024</v>
      </c>
      <c r="C1002" t="s">
        <v>32</v>
      </c>
      <c r="D1002">
        <v>8</v>
      </c>
      <c r="E1002" t="s">
        <v>26</v>
      </c>
      <c r="F1002" t="s">
        <v>15</v>
      </c>
      <c r="G1002" s="3">
        <v>477</v>
      </c>
      <c r="H1002" s="3">
        <v>122.93</v>
      </c>
      <c r="I1002" s="3">
        <v>58637.61</v>
      </c>
      <c r="J1002" s="3">
        <v>21.29</v>
      </c>
    </row>
    <row r="1003" spans="1:10" x14ac:dyDescent="0.25">
      <c r="A1003" s="2">
        <v>45527</v>
      </c>
      <c r="B1003">
        <v>2024</v>
      </c>
      <c r="C1003" t="s">
        <v>32</v>
      </c>
      <c r="D1003">
        <v>8</v>
      </c>
      <c r="E1003" t="s">
        <v>26</v>
      </c>
      <c r="F1003" t="s">
        <v>16</v>
      </c>
      <c r="G1003" s="3">
        <v>190</v>
      </c>
      <c r="H1003" s="3">
        <v>96.03</v>
      </c>
      <c r="I1003" s="3">
        <v>18245.7</v>
      </c>
      <c r="J1003" s="3">
        <v>0.09</v>
      </c>
    </row>
    <row r="1004" spans="1:10" x14ac:dyDescent="0.25">
      <c r="A1004" s="2">
        <v>45527</v>
      </c>
      <c r="B1004">
        <v>2024</v>
      </c>
      <c r="C1004" t="s">
        <v>32</v>
      </c>
      <c r="D1004">
        <v>8</v>
      </c>
      <c r="E1004" t="s">
        <v>26</v>
      </c>
      <c r="F1004" t="s">
        <v>17</v>
      </c>
      <c r="G1004" s="3">
        <v>617</v>
      </c>
      <c r="H1004" s="3">
        <v>193.53</v>
      </c>
      <c r="I1004" s="3">
        <v>119408.01</v>
      </c>
      <c r="J1004" s="3">
        <v>-11.43</v>
      </c>
    </row>
    <row r="1005" spans="1:10" x14ac:dyDescent="0.25">
      <c r="A1005" s="2">
        <v>45527</v>
      </c>
      <c r="B1005">
        <v>2024</v>
      </c>
      <c r="C1005" t="s">
        <v>32</v>
      </c>
      <c r="D1005">
        <v>8</v>
      </c>
      <c r="E1005" t="s">
        <v>26</v>
      </c>
      <c r="F1005" t="s">
        <v>18</v>
      </c>
      <c r="G1005" s="3">
        <v>747</v>
      </c>
      <c r="H1005" s="3">
        <v>27.61</v>
      </c>
      <c r="I1005" s="3">
        <v>20624.669999999998</v>
      </c>
      <c r="J1005" s="3">
        <v>7.59</v>
      </c>
    </row>
    <row r="1006" spans="1:10" x14ac:dyDescent="0.25">
      <c r="A1006" s="2">
        <v>45527</v>
      </c>
      <c r="B1006">
        <v>2024</v>
      </c>
      <c r="C1006" t="s">
        <v>32</v>
      </c>
      <c r="D1006">
        <v>8</v>
      </c>
      <c r="E1006" t="s">
        <v>26</v>
      </c>
      <c r="F1006" t="s">
        <v>19</v>
      </c>
      <c r="G1006" s="3">
        <v>778</v>
      </c>
      <c r="H1006" s="3">
        <v>146.69</v>
      </c>
      <c r="I1006" s="3">
        <v>114124.82</v>
      </c>
      <c r="J1006" s="3">
        <v>-14.83</v>
      </c>
    </row>
    <row r="1007" spans="1:10" x14ac:dyDescent="0.25">
      <c r="A1007" s="2">
        <v>45527</v>
      </c>
      <c r="B1007">
        <v>2024</v>
      </c>
      <c r="C1007" t="s">
        <v>32</v>
      </c>
      <c r="D1007">
        <v>8</v>
      </c>
      <c r="E1007" t="s">
        <v>26</v>
      </c>
      <c r="F1007" t="s">
        <v>20</v>
      </c>
      <c r="G1007" s="3">
        <v>72</v>
      </c>
      <c r="H1007" s="3">
        <v>65.760000000000005</v>
      </c>
      <c r="I1007" s="3">
        <v>4734.72</v>
      </c>
      <c r="J1007" s="3">
        <v>20.02</v>
      </c>
    </row>
    <row r="1008" spans="1:10" x14ac:dyDescent="0.25">
      <c r="A1008" s="2">
        <v>45527</v>
      </c>
      <c r="B1008">
        <v>2024</v>
      </c>
      <c r="C1008" t="s">
        <v>32</v>
      </c>
      <c r="D1008">
        <v>8</v>
      </c>
      <c r="E1008" t="s">
        <v>26</v>
      </c>
      <c r="F1008" t="s">
        <v>21</v>
      </c>
      <c r="G1008" s="3">
        <v>150</v>
      </c>
      <c r="H1008" s="3">
        <v>193.89</v>
      </c>
      <c r="I1008" s="3">
        <v>29083.5</v>
      </c>
      <c r="J1008" s="3">
        <v>15.44</v>
      </c>
    </row>
    <row r="1009" spans="1:10" x14ac:dyDescent="0.25">
      <c r="A1009" s="2">
        <v>45527</v>
      </c>
      <c r="B1009">
        <v>2024</v>
      </c>
      <c r="C1009" t="s">
        <v>32</v>
      </c>
      <c r="D1009">
        <v>8</v>
      </c>
      <c r="E1009" t="s">
        <v>11</v>
      </c>
      <c r="F1009" t="s">
        <v>25</v>
      </c>
      <c r="G1009" s="3">
        <v>258</v>
      </c>
      <c r="H1009" s="3">
        <v>31.28</v>
      </c>
      <c r="I1009" s="3">
        <v>8070.24</v>
      </c>
      <c r="J1009" s="3">
        <v>18.57</v>
      </c>
    </row>
    <row r="1010" spans="1:10" x14ac:dyDescent="0.25">
      <c r="A1010" s="2">
        <v>45557</v>
      </c>
      <c r="B1010">
        <v>2024</v>
      </c>
      <c r="C1010" t="s">
        <v>33</v>
      </c>
      <c r="D1010">
        <v>9</v>
      </c>
      <c r="E1010" t="s">
        <v>13</v>
      </c>
      <c r="F1010" t="s">
        <v>21</v>
      </c>
      <c r="G1010" s="3">
        <v>650</v>
      </c>
      <c r="H1010" s="3">
        <v>185.49</v>
      </c>
      <c r="I1010" s="3">
        <v>120568.5</v>
      </c>
      <c r="J1010" s="3">
        <v>-7.96</v>
      </c>
    </row>
    <row r="1011" spans="1:10" x14ac:dyDescent="0.25">
      <c r="A1011" s="2">
        <v>45557</v>
      </c>
      <c r="B1011">
        <v>2024</v>
      </c>
      <c r="C1011" t="s">
        <v>33</v>
      </c>
      <c r="D1011">
        <v>9</v>
      </c>
      <c r="E1011" t="s">
        <v>13</v>
      </c>
      <c r="F1011" t="s">
        <v>20</v>
      </c>
      <c r="G1011" s="3">
        <v>495</v>
      </c>
      <c r="H1011" s="3">
        <v>122.52</v>
      </c>
      <c r="I1011" s="3">
        <v>60647.4</v>
      </c>
      <c r="J1011" s="3">
        <v>-4.62</v>
      </c>
    </row>
    <row r="1012" spans="1:10" x14ac:dyDescent="0.25">
      <c r="A1012" s="2">
        <v>45557</v>
      </c>
      <c r="B1012">
        <v>2024</v>
      </c>
      <c r="C1012" t="s">
        <v>33</v>
      </c>
      <c r="D1012">
        <v>9</v>
      </c>
      <c r="E1012" t="s">
        <v>13</v>
      </c>
      <c r="F1012" t="s">
        <v>19</v>
      </c>
      <c r="G1012" s="3">
        <v>609</v>
      </c>
      <c r="H1012" s="3">
        <v>93.2</v>
      </c>
      <c r="I1012" s="3">
        <v>56758.8</v>
      </c>
      <c r="J1012" s="3">
        <v>23.12</v>
      </c>
    </row>
    <row r="1013" spans="1:10" x14ac:dyDescent="0.25">
      <c r="A1013" s="2">
        <v>45557</v>
      </c>
      <c r="B1013">
        <v>2024</v>
      </c>
      <c r="C1013" t="s">
        <v>33</v>
      </c>
      <c r="D1013">
        <v>9</v>
      </c>
      <c r="E1013" t="s">
        <v>13</v>
      </c>
      <c r="F1013" t="s">
        <v>14</v>
      </c>
      <c r="G1013" s="3">
        <v>52</v>
      </c>
      <c r="H1013" s="3">
        <v>49.83</v>
      </c>
      <c r="I1013" s="3">
        <v>2591.16</v>
      </c>
      <c r="J1013" s="3">
        <v>2.82</v>
      </c>
    </row>
    <row r="1014" spans="1:10" x14ac:dyDescent="0.25">
      <c r="A1014" s="2">
        <v>45557</v>
      </c>
      <c r="B1014">
        <v>2024</v>
      </c>
      <c r="C1014" t="s">
        <v>33</v>
      </c>
      <c r="D1014">
        <v>9</v>
      </c>
      <c r="E1014" t="s">
        <v>13</v>
      </c>
      <c r="F1014" t="s">
        <v>17</v>
      </c>
      <c r="G1014" s="3">
        <v>572</v>
      </c>
      <c r="H1014" s="3">
        <v>90.53</v>
      </c>
      <c r="I1014" s="3">
        <v>51783.16</v>
      </c>
      <c r="J1014" s="3">
        <v>11.36</v>
      </c>
    </row>
    <row r="1015" spans="1:10" x14ac:dyDescent="0.25">
      <c r="A1015" s="2">
        <v>45557</v>
      </c>
      <c r="B1015">
        <v>2024</v>
      </c>
      <c r="C1015" t="s">
        <v>33</v>
      </c>
      <c r="D1015">
        <v>9</v>
      </c>
      <c r="E1015" t="s">
        <v>13</v>
      </c>
      <c r="F1015" t="s">
        <v>16</v>
      </c>
      <c r="G1015" s="3">
        <v>770</v>
      </c>
      <c r="H1015" s="3">
        <v>196.61</v>
      </c>
      <c r="I1015" s="3">
        <v>151389.70000000001</v>
      </c>
      <c r="J1015" s="3">
        <v>16.73</v>
      </c>
    </row>
    <row r="1016" spans="1:10" x14ac:dyDescent="0.25">
      <c r="A1016" s="2">
        <v>45557</v>
      </c>
      <c r="B1016">
        <v>2024</v>
      </c>
      <c r="C1016" t="s">
        <v>33</v>
      </c>
      <c r="D1016">
        <v>9</v>
      </c>
      <c r="E1016" t="s">
        <v>13</v>
      </c>
      <c r="F1016" t="s">
        <v>15</v>
      </c>
      <c r="G1016" s="3">
        <v>477</v>
      </c>
      <c r="H1016" s="3">
        <v>181.58</v>
      </c>
      <c r="I1016" s="3">
        <v>86613.66</v>
      </c>
      <c r="J1016" s="3">
        <v>11.97</v>
      </c>
    </row>
    <row r="1017" spans="1:10" x14ac:dyDescent="0.25">
      <c r="A1017" s="2">
        <v>45557</v>
      </c>
      <c r="B1017">
        <v>2024</v>
      </c>
      <c r="C1017" t="s">
        <v>33</v>
      </c>
      <c r="D1017">
        <v>9</v>
      </c>
      <c r="E1017" t="s">
        <v>13</v>
      </c>
      <c r="F1017" t="s">
        <v>22</v>
      </c>
      <c r="G1017" s="3">
        <v>203</v>
      </c>
      <c r="H1017" s="3">
        <v>22.55</v>
      </c>
      <c r="I1017" s="3">
        <v>4577.6499999999996</v>
      </c>
      <c r="J1017" s="3">
        <v>18.18</v>
      </c>
    </row>
    <row r="1018" spans="1:10" x14ac:dyDescent="0.25">
      <c r="A1018" s="2">
        <v>45557</v>
      </c>
      <c r="B1018">
        <v>2024</v>
      </c>
      <c r="C1018" t="s">
        <v>33</v>
      </c>
      <c r="D1018">
        <v>9</v>
      </c>
      <c r="E1018" t="s">
        <v>13</v>
      </c>
      <c r="F1018" t="s">
        <v>18</v>
      </c>
      <c r="G1018" s="3">
        <v>730</v>
      </c>
      <c r="H1018" s="3">
        <v>55.45</v>
      </c>
      <c r="I1018" s="3">
        <v>40478.5</v>
      </c>
      <c r="J1018" s="3">
        <v>23.06</v>
      </c>
    </row>
    <row r="1019" spans="1:10" x14ac:dyDescent="0.25">
      <c r="A1019" s="2">
        <v>45557</v>
      </c>
      <c r="B1019">
        <v>2024</v>
      </c>
      <c r="C1019" t="s">
        <v>33</v>
      </c>
      <c r="D1019">
        <v>9</v>
      </c>
      <c r="E1019" t="s">
        <v>13</v>
      </c>
      <c r="F1019" t="s">
        <v>25</v>
      </c>
      <c r="G1019" s="3">
        <v>620</v>
      </c>
      <c r="H1019" s="3">
        <v>83.91</v>
      </c>
      <c r="I1019" s="3">
        <v>52024.2</v>
      </c>
      <c r="J1019" s="3">
        <v>12.93</v>
      </c>
    </row>
    <row r="1020" spans="1:10" x14ac:dyDescent="0.25">
      <c r="A1020" s="2">
        <v>45557</v>
      </c>
      <c r="B1020">
        <v>2024</v>
      </c>
      <c r="C1020" t="s">
        <v>33</v>
      </c>
      <c r="D1020">
        <v>9</v>
      </c>
      <c r="E1020" t="s">
        <v>23</v>
      </c>
      <c r="F1020" t="s">
        <v>17</v>
      </c>
      <c r="G1020" s="3">
        <v>93</v>
      </c>
      <c r="H1020" s="3">
        <v>22.18</v>
      </c>
      <c r="I1020" s="3">
        <v>2062.7399999999998</v>
      </c>
      <c r="J1020" s="3">
        <v>-14.64</v>
      </c>
    </row>
    <row r="1021" spans="1:10" x14ac:dyDescent="0.25">
      <c r="A1021" s="2">
        <v>45557</v>
      </c>
      <c r="B1021">
        <v>2024</v>
      </c>
      <c r="C1021" t="s">
        <v>33</v>
      </c>
      <c r="D1021">
        <v>9</v>
      </c>
      <c r="E1021" t="s">
        <v>23</v>
      </c>
      <c r="F1021" t="s">
        <v>24</v>
      </c>
      <c r="G1021" s="3">
        <v>569</v>
      </c>
      <c r="H1021" s="3">
        <v>49.1</v>
      </c>
      <c r="I1021" s="3">
        <v>27937.9</v>
      </c>
      <c r="J1021" s="3">
        <v>4.08</v>
      </c>
    </row>
    <row r="1022" spans="1:10" x14ac:dyDescent="0.25">
      <c r="A1022" s="2">
        <v>45557</v>
      </c>
      <c r="B1022">
        <v>2024</v>
      </c>
      <c r="C1022" t="s">
        <v>33</v>
      </c>
      <c r="D1022">
        <v>9</v>
      </c>
      <c r="E1022" t="s">
        <v>23</v>
      </c>
      <c r="F1022" t="s">
        <v>14</v>
      </c>
      <c r="G1022" s="3">
        <v>401</v>
      </c>
      <c r="H1022" s="3">
        <v>75.8</v>
      </c>
      <c r="I1022" s="3">
        <v>30395.8</v>
      </c>
      <c r="J1022" s="3">
        <v>-5.72</v>
      </c>
    </row>
    <row r="1023" spans="1:10" x14ac:dyDescent="0.25">
      <c r="A1023" s="2">
        <v>45557</v>
      </c>
      <c r="B1023">
        <v>2024</v>
      </c>
      <c r="C1023" t="s">
        <v>33</v>
      </c>
      <c r="D1023">
        <v>9</v>
      </c>
      <c r="E1023" t="s">
        <v>23</v>
      </c>
      <c r="F1023" t="s">
        <v>15</v>
      </c>
      <c r="G1023" s="3">
        <v>476</v>
      </c>
      <c r="H1023" s="3">
        <v>139.99</v>
      </c>
      <c r="I1023" s="3">
        <v>66635.240000000005</v>
      </c>
      <c r="J1023" s="3">
        <v>-8.49</v>
      </c>
    </row>
    <row r="1024" spans="1:10" x14ac:dyDescent="0.25">
      <c r="A1024" s="2">
        <v>45557</v>
      </c>
      <c r="B1024">
        <v>2024</v>
      </c>
      <c r="C1024" t="s">
        <v>33</v>
      </c>
      <c r="D1024">
        <v>9</v>
      </c>
      <c r="E1024" t="s">
        <v>23</v>
      </c>
      <c r="F1024" t="s">
        <v>16</v>
      </c>
      <c r="G1024" s="3">
        <v>649</v>
      </c>
      <c r="H1024" s="3">
        <v>157.44</v>
      </c>
      <c r="I1024" s="3">
        <v>102178.56</v>
      </c>
      <c r="J1024" s="3">
        <v>19.21</v>
      </c>
    </row>
    <row r="1025" spans="1:10" x14ac:dyDescent="0.25">
      <c r="A1025" s="2">
        <v>45557</v>
      </c>
      <c r="B1025">
        <v>2024</v>
      </c>
      <c r="C1025" t="s">
        <v>33</v>
      </c>
      <c r="D1025">
        <v>9</v>
      </c>
      <c r="E1025" t="s">
        <v>23</v>
      </c>
      <c r="F1025" t="s">
        <v>18</v>
      </c>
      <c r="G1025" s="3">
        <v>662</v>
      </c>
      <c r="H1025" s="3">
        <v>87.86</v>
      </c>
      <c r="I1025" s="3">
        <v>58163.32</v>
      </c>
      <c r="J1025" s="3">
        <v>7.08</v>
      </c>
    </row>
    <row r="1026" spans="1:10" x14ac:dyDescent="0.25">
      <c r="A1026" s="2">
        <v>45557</v>
      </c>
      <c r="B1026">
        <v>2024</v>
      </c>
      <c r="C1026" t="s">
        <v>33</v>
      </c>
      <c r="D1026">
        <v>9</v>
      </c>
      <c r="E1026" t="s">
        <v>23</v>
      </c>
      <c r="F1026" t="s">
        <v>19</v>
      </c>
      <c r="G1026" s="3">
        <v>304</v>
      </c>
      <c r="H1026" s="3">
        <v>134.19</v>
      </c>
      <c r="I1026" s="3">
        <v>40793.760000000002</v>
      </c>
      <c r="J1026" s="3">
        <v>-6.12</v>
      </c>
    </row>
    <row r="1027" spans="1:10" x14ac:dyDescent="0.25">
      <c r="A1027" s="2">
        <v>45557</v>
      </c>
      <c r="B1027">
        <v>2024</v>
      </c>
      <c r="C1027" t="s">
        <v>33</v>
      </c>
      <c r="D1027">
        <v>9</v>
      </c>
      <c r="E1027" t="s">
        <v>23</v>
      </c>
      <c r="F1027" t="s">
        <v>20</v>
      </c>
      <c r="G1027" s="3">
        <v>371</v>
      </c>
      <c r="H1027" s="3">
        <v>112.64</v>
      </c>
      <c r="I1027" s="3">
        <v>41789.440000000002</v>
      </c>
      <c r="J1027" s="3">
        <v>17.329999999999998</v>
      </c>
    </row>
    <row r="1028" spans="1:10" x14ac:dyDescent="0.25">
      <c r="A1028" s="2">
        <v>45557</v>
      </c>
      <c r="B1028">
        <v>2024</v>
      </c>
      <c r="C1028" t="s">
        <v>33</v>
      </c>
      <c r="D1028">
        <v>9</v>
      </c>
      <c r="E1028" t="s">
        <v>23</v>
      </c>
      <c r="F1028" t="s">
        <v>21</v>
      </c>
      <c r="G1028" s="3">
        <v>662</v>
      </c>
      <c r="H1028" s="3">
        <v>64.25</v>
      </c>
      <c r="I1028" s="3">
        <v>42533.5</v>
      </c>
      <c r="J1028" s="3">
        <v>1.1100000000000001</v>
      </c>
    </row>
    <row r="1029" spans="1:10" x14ac:dyDescent="0.25">
      <c r="A1029" s="2">
        <v>45557</v>
      </c>
      <c r="B1029">
        <v>2024</v>
      </c>
      <c r="C1029" t="s">
        <v>33</v>
      </c>
      <c r="D1029">
        <v>9</v>
      </c>
      <c r="E1029" t="s">
        <v>23</v>
      </c>
      <c r="F1029" t="s">
        <v>22</v>
      </c>
      <c r="G1029" s="3">
        <v>702</v>
      </c>
      <c r="H1029" s="3">
        <v>20.079999999999998</v>
      </c>
      <c r="I1029" s="3">
        <v>14096.16</v>
      </c>
      <c r="J1029" s="3">
        <v>21.06</v>
      </c>
    </row>
    <row r="1030" spans="1:10" x14ac:dyDescent="0.25">
      <c r="A1030" s="2">
        <v>45557</v>
      </c>
      <c r="B1030">
        <v>2024</v>
      </c>
      <c r="C1030" t="s">
        <v>33</v>
      </c>
      <c r="D1030">
        <v>9</v>
      </c>
      <c r="E1030" t="s">
        <v>13</v>
      </c>
      <c r="F1030" t="s">
        <v>24</v>
      </c>
      <c r="G1030" s="3">
        <v>763</v>
      </c>
      <c r="H1030" s="3">
        <v>52.46</v>
      </c>
      <c r="I1030" s="3">
        <v>40026.980000000003</v>
      </c>
      <c r="J1030" s="3">
        <v>3.34</v>
      </c>
    </row>
    <row r="1031" spans="1:10" x14ac:dyDescent="0.25">
      <c r="A1031" s="2">
        <v>45557</v>
      </c>
      <c r="B1031">
        <v>2024</v>
      </c>
      <c r="C1031" t="s">
        <v>33</v>
      </c>
      <c r="D1031">
        <v>9</v>
      </c>
      <c r="E1031" t="s">
        <v>23</v>
      </c>
      <c r="F1031" t="s">
        <v>12</v>
      </c>
      <c r="G1031" s="3">
        <v>294</v>
      </c>
      <c r="H1031" s="3">
        <v>191.52</v>
      </c>
      <c r="I1031" s="3">
        <v>56306.879999999997</v>
      </c>
      <c r="J1031" s="3">
        <v>23.68</v>
      </c>
    </row>
    <row r="1032" spans="1:10" x14ac:dyDescent="0.25">
      <c r="A1032" s="2">
        <v>45557</v>
      </c>
      <c r="B1032">
        <v>2024</v>
      </c>
      <c r="C1032" t="s">
        <v>33</v>
      </c>
      <c r="D1032">
        <v>9</v>
      </c>
      <c r="E1032" t="s">
        <v>13</v>
      </c>
      <c r="F1032" t="s">
        <v>12</v>
      </c>
      <c r="G1032" s="3">
        <v>623</v>
      </c>
      <c r="H1032" s="3">
        <v>165.25</v>
      </c>
      <c r="I1032" s="3">
        <v>102950.75</v>
      </c>
      <c r="J1032" s="3">
        <v>3.39</v>
      </c>
    </row>
    <row r="1033" spans="1:10" x14ac:dyDescent="0.25">
      <c r="A1033" s="2">
        <v>45557</v>
      </c>
      <c r="B1033">
        <v>2024</v>
      </c>
      <c r="C1033" t="s">
        <v>33</v>
      </c>
      <c r="D1033">
        <v>9</v>
      </c>
      <c r="E1033" t="s">
        <v>23</v>
      </c>
      <c r="F1033" t="s">
        <v>25</v>
      </c>
      <c r="G1033" s="3">
        <v>487</v>
      </c>
      <c r="H1033" s="3">
        <v>91.61</v>
      </c>
      <c r="I1033" s="3">
        <v>44614.07</v>
      </c>
      <c r="J1033" s="3">
        <v>21.78</v>
      </c>
    </row>
    <row r="1034" spans="1:10" x14ac:dyDescent="0.25">
      <c r="A1034" s="2">
        <v>45557</v>
      </c>
      <c r="B1034">
        <v>2024</v>
      </c>
      <c r="C1034" t="s">
        <v>33</v>
      </c>
      <c r="D1034">
        <v>9</v>
      </c>
      <c r="E1034" t="s">
        <v>26</v>
      </c>
      <c r="F1034" t="s">
        <v>22</v>
      </c>
      <c r="G1034" s="3">
        <v>787</v>
      </c>
      <c r="H1034" s="3">
        <v>63.54</v>
      </c>
      <c r="I1034" s="3">
        <v>50005.98</v>
      </c>
      <c r="J1034" s="3">
        <v>5.0199999999999996</v>
      </c>
    </row>
    <row r="1035" spans="1:10" x14ac:dyDescent="0.25">
      <c r="A1035" s="2">
        <v>45557</v>
      </c>
      <c r="B1035">
        <v>2024</v>
      </c>
      <c r="C1035" t="s">
        <v>33</v>
      </c>
      <c r="D1035">
        <v>9</v>
      </c>
      <c r="E1035" t="s">
        <v>11</v>
      </c>
      <c r="F1035" t="s">
        <v>12</v>
      </c>
      <c r="G1035" s="3">
        <v>440</v>
      </c>
      <c r="H1035" s="3">
        <v>23.16</v>
      </c>
      <c r="I1035" s="3">
        <v>10190.4</v>
      </c>
      <c r="J1035" s="3">
        <v>-3.27</v>
      </c>
    </row>
    <row r="1036" spans="1:10" x14ac:dyDescent="0.25">
      <c r="A1036" s="2">
        <v>45557</v>
      </c>
      <c r="B1036">
        <v>2024</v>
      </c>
      <c r="C1036" t="s">
        <v>33</v>
      </c>
      <c r="D1036">
        <v>9</v>
      </c>
      <c r="E1036" t="s">
        <v>11</v>
      </c>
      <c r="F1036" t="s">
        <v>24</v>
      </c>
      <c r="G1036" s="3">
        <v>82</v>
      </c>
      <c r="H1036" s="3">
        <v>153.02000000000001</v>
      </c>
      <c r="I1036" s="3">
        <v>12547.64</v>
      </c>
      <c r="J1036" s="3">
        <v>-6.07</v>
      </c>
    </row>
    <row r="1037" spans="1:10" x14ac:dyDescent="0.25">
      <c r="A1037" s="2">
        <v>45557</v>
      </c>
      <c r="B1037">
        <v>2024</v>
      </c>
      <c r="C1037" t="s">
        <v>33</v>
      </c>
      <c r="D1037">
        <v>9</v>
      </c>
      <c r="E1037" t="s">
        <v>11</v>
      </c>
      <c r="F1037" t="s">
        <v>14</v>
      </c>
      <c r="G1037" s="3">
        <v>687</v>
      </c>
      <c r="H1037" s="3">
        <v>122.72</v>
      </c>
      <c r="I1037" s="3">
        <v>84308.64</v>
      </c>
      <c r="J1037" s="3">
        <v>7.72</v>
      </c>
    </row>
    <row r="1038" spans="1:10" x14ac:dyDescent="0.25">
      <c r="A1038" s="2">
        <v>45557</v>
      </c>
      <c r="B1038">
        <v>2024</v>
      </c>
      <c r="C1038" t="s">
        <v>33</v>
      </c>
      <c r="D1038">
        <v>9</v>
      </c>
      <c r="E1038" t="s">
        <v>11</v>
      </c>
      <c r="F1038" t="s">
        <v>15</v>
      </c>
      <c r="G1038" s="3">
        <v>422</v>
      </c>
      <c r="H1038" s="3">
        <v>136.36000000000001</v>
      </c>
      <c r="I1038" s="3">
        <v>57543.92</v>
      </c>
      <c r="J1038" s="3">
        <v>23.97</v>
      </c>
    </row>
    <row r="1039" spans="1:10" x14ac:dyDescent="0.25">
      <c r="A1039" s="2">
        <v>45557</v>
      </c>
      <c r="B1039">
        <v>2024</v>
      </c>
      <c r="C1039" t="s">
        <v>33</v>
      </c>
      <c r="D1039">
        <v>9</v>
      </c>
      <c r="E1039" t="s">
        <v>11</v>
      </c>
      <c r="F1039" t="s">
        <v>16</v>
      </c>
      <c r="G1039" s="3">
        <v>672</v>
      </c>
      <c r="H1039" s="3">
        <v>141.6</v>
      </c>
      <c r="I1039" s="3">
        <v>95155.199999999997</v>
      </c>
      <c r="J1039" s="3">
        <v>6.88</v>
      </c>
    </row>
    <row r="1040" spans="1:10" x14ac:dyDescent="0.25">
      <c r="A1040" s="2">
        <v>45557</v>
      </c>
      <c r="B1040">
        <v>2024</v>
      </c>
      <c r="C1040" t="s">
        <v>33</v>
      </c>
      <c r="D1040">
        <v>9</v>
      </c>
      <c r="E1040" t="s">
        <v>11</v>
      </c>
      <c r="F1040" t="s">
        <v>17</v>
      </c>
      <c r="G1040" s="3">
        <v>274</v>
      </c>
      <c r="H1040" s="3">
        <v>129.11000000000001</v>
      </c>
      <c r="I1040" s="3">
        <v>35376.14</v>
      </c>
      <c r="J1040" s="3">
        <v>-3.35</v>
      </c>
    </row>
    <row r="1041" spans="1:10" x14ac:dyDescent="0.25">
      <c r="A1041" s="2">
        <v>45557</v>
      </c>
      <c r="B1041">
        <v>2024</v>
      </c>
      <c r="C1041" t="s">
        <v>33</v>
      </c>
      <c r="D1041">
        <v>9</v>
      </c>
      <c r="E1041" t="s">
        <v>11</v>
      </c>
      <c r="F1041" t="s">
        <v>18</v>
      </c>
      <c r="G1041" s="3">
        <v>94</v>
      </c>
      <c r="H1041" s="3">
        <v>91.64</v>
      </c>
      <c r="I1041" s="3">
        <v>8614.16</v>
      </c>
      <c r="J1041" s="3">
        <v>-2.88</v>
      </c>
    </row>
    <row r="1042" spans="1:10" x14ac:dyDescent="0.25">
      <c r="A1042" s="2">
        <v>45557</v>
      </c>
      <c r="B1042">
        <v>2024</v>
      </c>
      <c r="C1042" t="s">
        <v>33</v>
      </c>
      <c r="D1042">
        <v>9</v>
      </c>
      <c r="E1042" t="s">
        <v>11</v>
      </c>
      <c r="F1042" t="s">
        <v>19</v>
      </c>
      <c r="G1042" s="3">
        <v>244</v>
      </c>
      <c r="H1042" s="3">
        <v>147.82</v>
      </c>
      <c r="I1042" s="3">
        <v>36068.080000000002</v>
      </c>
      <c r="J1042" s="3">
        <v>22.5</v>
      </c>
    </row>
    <row r="1043" spans="1:10" x14ac:dyDescent="0.25">
      <c r="A1043" s="2">
        <v>45557</v>
      </c>
      <c r="B1043">
        <v>2024</v>
      </c>
      <c r="C1043" t="s">
        <v>33</v>
      </c>
      <c r="D1043">
        <v>9</v>
      </c>
      <c r="E1043" t="s">
        <v>11</v>
      </c>
      <c r="F1043" t="s">
        <v>20</v>
      </c>
      <c r="G1043" s="3">
        <v>275</v>
      </c>
      <c r="H1043" s="3">
        <v>107.13</v>
      </c>
      <c r="I1043" s="3">
        <v>29460.75</v>
      </c>
      <c r="J1043" s="3">
        <v>14.9</v>
      </c>
    </row>
    <row r="1044" spans="1:10" x14ac:dyDescent="0.25">
      <c r="A1044" s="2">
        <v>45557</v>
      </c>
      <c r="B1044">
        <v>2024</v>
      </c>
      <c r="C1044" t="s">
        <v>33</v>
      </c>
      <c r="D1044">
        <v>9</v>
      </c>
      <c r="E1044" t="s">
        <v>11</v>
      </c>
      <c r="F1044" t="s">
        <v>21</v>
      </c>
      <c r="G1044" s="3">
        <v>520</v>
      </c>
      <c r="H1044" s="3">
        <v>140.9</v>
      </c>
      <c r="I1044" s="3">
        <v>73268</v>
      </c>
      <c r="J1044" s="3">
        <v>8.2899999999999991</v>
      </c>
    </row>
    <row r="1045" spans="1:10" x14ac:dyDescent="0.25">
      <c r="A1045" s="2">
        <v>45557</v>
      </c>
      <c r="B1045">
        <v>2024</v>
      </c>
      <c r="C1045" t="s">
        <v>33</v>
      </c>
      <c r="D1045">
        <v>9</v>
      </c>
      <c r="E1045" t="s">
        <v>11</v>
      </c>
      <c r="F1045" t="s">
        <v>22</v>
      </c>
      <c r="G1045" s="3">
        <v>153</v>
      </c>
      <c r="H1045" s="3">
        <v>189.69</v>
      </c>
      <c r="I1045" s="3">
        <v>29022.57</v>
      </c>
      <c r="J1045" s="3">
        <v>16.41</v>
      </c>
    </row>
    <row r="1046" spans="1:10" x14ac:dyDescent="0.25">
      <c r="A1046" s="2">
        <v>45557</v>
      </c>
      <c r="B1046">
        <v>2024</v>
      </c>
      <c r="C1046" t="s">
        <v>33</v>
      </c>
      <c r="D1046">
        <v>9</v>
      </c>
      <c r="E1046" t="s">
        <v>26</v>
      </c>
      <c r="F1046" t="s">
        <v>25</v>
      </c>
      <c r="G1046" s="3">
        <v>326</v>
      </c>
      <c r="H1046" s="3">
        <v>193.22</v>
      </c>
      <c r="I1046" s="3">
        <v>62989.72</v>
      </c>
      <c r="J1046" s="3">
        <v>9.84</v>
      </c>
    </row>
    <row r="1047" spans="1:10" x14ac:dyDescent="0.25">
      <c r="A1047" s="2">
        <v>45557</v>
      </c>
      <c r="B1047">
        <v>2024</v>
      </c>
      <c r="C1047" t="s">
        <v>33</v>
      </c>
      <c r="D1047">
        <v>9</v>
      </c>
      <c r="E1047" t="s">
        <v>26</v>
      </c>
      <c r="F1047" t="s">
        <v>12</v>
      </c>
      <c r="G1047" s="3">
        <v>589</v>
      </c>
      <c r="H1047" s="3">
        <v>159.85</v>
      </c>
      <c r="I1047" s="3">
        <v>94151.65</v>
      </c>
      <c r="J1047" s="3">
        <v>-6.8</v>
      </c>
    </row>
    <row r="1048" spans="1:10" x14ac:dyDescent="0.25">
      <c r="A1048" s="2">
        <v>45557</v>
      </c>
      <c r="B1048">
        <v>2024</v>
      </c>
      <c r="C1048" t="s">
        <v>33</v>
      </c>
      <c r="D1048">
        <v>9</v>
      </c>
      <c r="E1048" t="s">
        <v>26</v>
      </c>
      <c r="F1048" t="s">
        <v>24</v>
      </c>
      <c r="G1048" s="3">
        <v>139</v>
      </c>
      <c r="H1048" s="3">
        <v>55.25</v>
      </c>
      <c r="I1048" s="3">
        <v>7679.75</v>
      </c>
      <c r="J1048" s="3">
        <v>-9.3699999999999992</v>
      </c>
    </row>
    <row r="1049" spans="1:10" x14ac:dyDescent="0.25">
      <c r="A1049" s="2">
        <v>45557</v>
      </c>
      <c r="B1049">
        <v>2024</v>
      </c>
      <c r="C1049" t="s">
        <v>33</v>
      </c>
      <c r="D1049">
        <v>9</v>
      </c>
      <c r="E1049" t="s">
        <v>26</v>
      </c>
      <c r="F1049" t="s">
        <v>14</v>
      </c>
      <c r="G1049" s="3">
        <v>75</v>
      </c>
      <c r="H1049" s="3">
        <v>172.49</v>
      </c>
      <c r="I1049" s="3">
        <v>12936.75</v>
      </c>
      <c r="J1049" s="3">
        <v>-2.39</v>
      </c>
    </row>
    <row r="1050" spans="1:10" x14ac:dyDescent="0.25">
      <c r="A1050" s="2">
        <v>45557</v>
      </c>
      <c r="B1050">
        <v>2024</v>
      </c>
      <c r="C1050" t="s">
        <v>33</v>
      </c>
      <c r="D1050">
        <v>9</v>
      </c>
      <c r="E1050" t="s">
        <v>26</v>
      </c>
      <c r="F1050" t="s">
        <v>15</v>
      </c>
      <c r="G1050" s="3">
        <v>388</v>
      </c>
      <c r="H1050" s="3">
        <v>46.45</v>
      </c>
      <c r="I1050" s="3">
        <v>18022.599999999999</v>
      </c>
      <c r="J1050" s="3">
        <v>17.440000000000001</v>
      </c>
    </row>
    <row r="1051" spans="1:10" x14ac:dyDescent="0.25">
      <c r="A1051" s="2">
        <v>45557</v>
      </c>
      <c r="B1051">
        <v>2024</v>
      </c>
      <c r="C1051" t="s">
        <v>33</v>
      </c>
      <c r="D1051">
        <v>9</v>
      </c>
      <c r="E1051" t="s">
        <v>26</v>
      </c>
      <c r="F1051" t="s">
        <v>16</v>
      </c>
      <c r="G1051" s="3">
        <v>409</v>
      </c>
      <c r="H1051" s="3">
        <v>183.16</v>
      </c>
      <c r="I1051" s="3">
        <v>74912.44</v>
      </c>
      <c r="J1051" s="3">
        <v>-8.44</v>
      </c>
    </row>
    <row r="1052" spans="1:10" x14ac:dyDescent="0.25">
      <c r="A1052" s="2">
        <v>45557</v>
      </c>
      <c r="B1052">
        <v>2024</v>
      </c>
      <c r="C1052" t="s">
        <v>33</v>
      </c>
      <c r="D1052">
        <v>9</v>
      </c>
      <c r="E1052" t="s">
        <v>26</v>
      </c>
      <c r="F1052" t="s">
        <v>17</v>
      </c>
      <c r="G1052" s="3">
        <v>540</v>
      </c>
      <c r="H1052" s="3">
        <v>165.77</v>
      </c>
      <c r="I1052" s="3">
        <v>89515.8</v>
      </c>
      <c r="J1052" s="3">
        <v>22.9</v>
      </c>
    </row>
    <row r="1053" spans="1:10" x14ac:dyDescent="0.25">
      <c r="A1053" s="2">
        <v>45557</v>
      </c>
      <c r="B1053">
        <v>2024</v>
      </c>
      <c r="C1053" t="s">
        <v>33</v>
      </c>
      <c r="D1053">
        <v>9</v>
      </c>
      <c r="E1053" t="s">
        <v>26</v>
      </c>
      <c r="F1053" t="s">
        <v>18</v>
      </c>
      <c r="G1053" s="3">
        <v>151</v>
      </c>
      <c r="H1053" s="3">
        <v>72.290000000000006</v>
      </c>
      <c r="I1053" s="3">
        <v>10915.79</v>
      </c>
      <c r="J1053" s="3">
        <v>3.8</v>
      </c>
    </row>
    <row r="1054" spans="1:10" x14ac:dyDescent="0.25">
      <c r="A1054" s="2">
        <v>45557</v>
      </c>
      <c r="B1054">
        <v>2024</v>
      </c>
      <c r="C1054" t="s">
        <v>33</v>
      </c>
      <c r="D1054">
        <v>9</v>
      </c>
      <c r="E1054" t="s">
        <v>26</v>
      </c>
      <c r="F1054" t="s">
        <v>19</v>
      </c>
      <c r="G1054" s="3">
        <v>608</v>
      </c>
      <c r="H1054" s="3">
        <v>30.91</v>
      </c>
      <c r="I1054" s="3">
        <v>18793.28</v>
      </c>
      <c r="J1054" s="3">
        <v>12.6</v>
      </c>
    </row>
    <row r="1055" spans="1:10" x14ac:dyDescent="0.25">
      <c r="A1055" s="2">
        <v>45557</v>
      </c>
      <c r="B1055">
        <v>2024</v>
      </c>
      <c r="C1055" t="s">
        <v>33</v>
      </c>
      <c r="D1055">
        <v>9</v>
      </c>
      <c r="E1055" t="s">
        <v>26</v>
      </c>
      <c r="F1055" t="s">
        <v>20</v>
      </c>
      <c r="G1055" s="3">
        <v>54</v>
      </c>
      <c r="H1055" s="3">
        <v>109.52</v>
      </c>
      <c r="I1055" s="3">
        <v>5914.08</v>
      </c>
      <c r="J1055" s="3">
        <v>-5.79</v>
      </c>
    </row>
    <row r="1056" spans="1:10" x14ac:dyDescent="0.25">
      <c r="A1056" s="2">
        <v>45557</v>
      </c>
      <c r="B1056">
        <v>2024</v>
      </c>
      <c r="C1056" t="s">
        <v>33</v>
      </c>
      <c r="D1056">
        <v>9</v>
      </c>
      <c r="E1056" t="s">
        <v>26</v>
      </c>
      <c r="F1056" t="s">
        <v>21</v>
      </c>
      <c r="G1056" s="3">
        <v>297</v>
      </c>
      <c r="H1056" s="3">
        <v>44.17</v>
      </c>
      <c r="I1056" s="3">
        <v>13118.49</v>
      </c>
      <c r="J1056" s="3">
        <v>23.32</v>
      </c>
    </row>
    <row r="1057" spans="1:10" x14ac:dyDescent="0.25">
      <c r="A1057" s="2">
        <v>45557</v>
      </c>
      <c r="B1057">
        <v>2024</v>
      </c>
      <c r="C1057" t="s">
        <v>33</v>
      </c>
      <c r="D1057">
        <v>9</v>
      </c>
      <c r="E1057" t="s">
        <v>11</v>
      </c>
      <c r="F1057" t="s">
        <v>25</v>
      </c>
      <c r="G1057" s="3">
        <v>657</v>
      </c>
      <c r="H1057" s="3">
        <v>137.16999999999999</v>
      </c>
      <c r="I1057" s="3">
        <v>90120.69</v>
      </c>
      <c r="J1057" s="3">
        <v>10.78</v>
      </c>
    </row>
    <row r="1058" spans="1:10" x14ac:dyDescent="0.25">
      <c r="A1058" s="2">
        <v>45587</v>
      </c>
      <c r="B1058">
        <v>2024</v>
      </c>
      <c r="C1058" t="s">
        <v>34</v>
      </c>
      <c r="D1058">
        <v>10</v>
      </c>
      <c r="E1058" t="s">
        <v>13</v>
      </c>
      <c r="F1058" t="s">
        <v>22</v>
      </c>
      <c r="G1058" s="3">
        <v>431</v>
      </c>
      <c r="H1058" s="3">
        <v>80.650000000000006</v>
      </c>
      <c r="I1058" s="3">
        <v>34760.15</v>
      </c>
      <c r="J1058" s="3">
        <v>24.98</v>
      </c>
    </row>
    <row r="1059" spans="1:10" x14ac:dyDescent="0.25">
      <c r="A1059" s="2">
        <v>45587</v>
      </c>
      <c r="B1059">
        <v>2024</v>
      </c>
      <c r="C1059" t="s">
        <v>34</v>
      </c>
      <c r="D1059">
        <v>10</v>
      </c>
      <c r="E1059" t="s">
        <v>13</v>
      </c>
      <c r="F1059" t="s">
        <v>21</v>
      </c>
      <c r="G1059" s="3">
        <v>161</v>
      </c>
      <c r="H1059" s="3">
        <v>167.02</v>
      </c>
      <c r="I1059" s="3">
        <v>26890.22</v>
      </c>
      <c r="J1059" s="3">
        <v>-7.74</v>
      </c>
    </row>
    <row r="1060" spans="1:10" x14ac:dyDescent="0.25">
      <c r="A1060" s="2">
        <v>45587</v>
      </c>
      <c r="B1060">
        <v>2024</v>
      </c>
      <c r="C1060" t="s">
        <v>34</v>
      </c>
      <c r="D1060">
        <v>10</v>
      </c>
      <c r="E1060" t="s">
        <v>13</v>
      </c>
      <c r="F1060" t="s">
        <v>20</v>
      </c>
      <c r="G1060" s="3">
        <v>355</v>
      </c>
      <c r="H1060" s="3">
        <v>181.29</v>
      </c>
      <c r="I1060" s="3">
        <v>64357.95</v>
      </c>
      <c r="J1060" s="3">
        <v>17.72</v>
      </c>
    </row>
    <row r="1061" spans="1:10" x14ac:dyDescent="0.25">
      <c r="A1061" s="2">
        <v>45587</v>
      </c>
      <c r="B1061">
        <v>2024</v>
      </c>
      <c r="C1061" t="s">
        <v>34</v>
      </c>
      <c r="D1061">
        <v>10</v>
      </c>
      <c r="E1061" t="s">
        <v>13</v>
      </c>
      <c r="F1061" t="s">
        <v>19</v>
      </c>
      <c r="G1061" s="3">
        <v>218</v>
      </c>
      <c r="H1061" s="3">
        <v>172.72</v>
      </c>
      <c r="I1061" s="3">
        <v>37652.959999999999</v>
      </c>
      <c r="J1061" s="3">
        <v>1.91</v>
      </c>
    </row>
    <row r="1062" spans="1:10" x14ac:dyDescent="0.25">
      <c r="A1062" s="2">
        <v>45587</v>
      </c>
      <c r="B1062">
        <v>2024</v>
      </c>
      <c r="C1062" t="s">
        <v>34</v>
      </c>
      <c r="D1062">
        <v>10</v>
      </c>
      <c r="E1062" t="s">
        <v>13</v>
      </c>
      <c r="F1062" t="s">
        <v>14</v>
      </c>
      <c r="G1062" s="3">
        <v>749</v>
      </c>
      <c r="H1062" s="3">
        <v>114.05</v>
      </c>
      <c r="I1062" s="3">
        <v>85423.45</v>
      </c>
      <c r="J1062" s="3">
        <v>-12.81</v>
      </c>
    </row>
    <row r="1063" spans="1:10" x14ac:dyDescent="0.25">
      <c r="A1063" s="2">
        <v>45587</v>
      </c>
      <c r="B1063">
        <v>2024</v>
      </c>
      <c r="C1063" t="s">
        <v>34</v>
      </c>
      <c r="D1063">
        <v>10</v>
      </c>
      <c r="E1063" t="s">
        <v>13</v>
      </c>
      <c r="F1063" t="s">
        <v>17</v>
      </c>
      <c r="G1063" s="3">
        <v>740</v>
      </c>
      <c r="H1063" s="3">
        <v>29.34</v>
      </c>
      <c r="I1063" s="3">
        <v>21711.599999999999</v>
      </c>
      <c r="J1063" s="3">
        <v>-7.36</v>
      </c>
    </row>
    <row r="1064" spans="1:10" x14ac:dyDescent="0.25">
      <c r="A1064" s="2">
        <v>45587</v>
      </c>
      <c r="B1064">
        <v>2024</v>
      </c>
      <c r="C1064" t="s">
        <v>34</v>
      </c>
      <c r="D1064">
        <v>10</v>
      </c>
      <c r="E1064" t="s">
        <v>13</v>
      </c>
      <c r="F1064" t="s">
        <v>16</v>
      </c>
      <c r="G1064" s="3">
        <v>134</v>
      </c>
      <c r="H1064" s="3">
        <v>74.709999999999994</v>
      </c>
      <c r="I1064" s="3">
        <v>10011.14</v>
      </c>
      <c r="J1064" s="3">
        <v>-5.78</v>
      </c>
    </row>
    <row r="1065" spans="1:10" x14ac:dyDescent="0.25">
      <c r="A1065" s="2">
        <v>45587</v>
      </c>
      <c r="B1065">
        <v>2024</v>
      </c>
      <c r="C1065" t="s">
        <v>34</v>
      </c>
      <c r="D1065">
        <v>10</v>
      </c>
      <c r="E1065" t="s">
        <v>13</v>
      </c>
      <c r="F1065" t="s">
        <v>15</v>
      </c>
      <c r="G1065" s="3">
        <v>699</v>
      </c>
      <c r="H1065" s="3">
        <v>56.1</v>
      </c>
      <c r="I1065" s="3">
        <v>39213.9</v>
      </c>
      <c r="J1065" s="3">
        <v>-6.86</v>
      </c>
    </row>
    <row r="1066" spans="1:10" x14ac:dyDescent="0.25">
      <c r="A1066" s="2">
        <v>45587</v>
      </c>
      <c r="B1066">
        <v>2024</v>
      </c>
      <c r="C1066" t="s">
        <v>34</v>
      </c>
      <c r="D1066">
        <v>10</v>
      </c>
      <c r="E1066" t="s">
        <v>13</v>
      </c>
      <c r="F1066" t="s">
        <v>25</v>
      </c>
      <c r="G1066" s="3">
        <v>789</v>
      </c>
      <c r="H1066" s="3">
        <v>197.27</v>
      </c>
      <c r="I1066" s="3">
        <v>155646.03</v>
      </c>
      <c r="J1066" s="3">
        <v>15.17</v>
      </c>
    </row>
    <row r="1067" spans="1:10" x14ac:dyDescent="0.25">
      <c r="A1067" s="2">
        <v>45587</v>
      </c>
      <c r="B1067">
        <v>2024</v>
      </c>
      <c r="C1067" t="s">
        <v>34</v>
      </c>
      <c r="D1067">
        <v>10</v>
      </c>
      <c r="E1067" t="s">
        <v>13</v>
      </c>
      <c r="F1067" t="s">
        <v>18</v>
      </c>
      <c r="G1067" s="3">
        <v>87</v>
      </c>
      <c r="H1067" s="3">
        <v>151.71</v>
      </c>
      <c r="I1067" s="3">
        <v>13198.77</v>
      </c>
      <c r="J1067" s="3">
        <v>10.63</v>
      </c>
    </row>
    <row r="1068" spans="1:10" x14ac:dyDescent="0.25">
      <c r="A1068" s="2">
        <v>45587</v>
      </c>
      <c r="B1068">
        <v>2024</v>
      </c>
      <c r="C1068" t="s">
        <v>34</v>
      </c>
      <c r="D1068">
        <v>10</v>
      </c>
      <c r="E1068" t="s">
        <v>23</v>
      </c>
      <c r="F1068" t="s">
        <v>12</v>
      </c>
      <c r="G1068" s="3">
        <v>262</v>
      </c>
      <c r="H1068" s="3">
        <v>117.64</v>
      </c>
      <c r="I1068" s="3">
        <v>30821.68</v>
      </c>
      <c r="J1068" s="3">
        <v>-9.02</v>
      </c>
    </row>
    <row r="1069" spans="1:10" x14ac:dyDescent="0.25">
      <c r="A1069" s="2">
        <v>45587</v>
      </c>
      <c r="B1069">
        <v>2024</v>
      </c>
      <c r="C1069" t="s">
        <v>34</v>
      </c>
      <c r="D1069">
        <v>10</v>
      </c>
      <c r="E1069" t="s">
        <v>23</v>
      </c>
      <c r="F1069" t="s">
        <v>17</v>
      </c>
      <c r="G1069" s="3">
        <v>609</v>
      </c>
      <c r="H1069" s="3">
        <v>73.38</v>
      </c>
      <c r="I1069" s="3">
        <v>44688.42</v>
      </c>
      <c r="J1069" s="3">
        <v>13.58</v>
      </c>
    </row>
    <row r="1070" spans="1:10" x14ac:dyDescent="0.25">
      <c r="A1070" s="2">
        <v>45587</v>
      </c>
      <c r="B1070">
        <v>2024</v>
      </c>
      <c r="C1070" t="s">
        <v>34</v>
      </c>
      <c r="D1070">
        <v>10</v>
      </c>
      <c r="E1070" t="s">
        <v>23</v>
      </c>
      <c r="F1070" t="s">
        <v>14</v>
      </c>
      <c r="G1070" s="3">
        <v>251</v>
      </c>
      <c r="H1070" s="3">
        <v>23.72</v>
      </c>
      <c r="I1070" s="3">
        <v>5953.72</v>
      </c>
      <c r="J1070" s="3">
        <v>-4.24</v>
      </c>
    </row>
    <row r="1071" spans="1:10" x14ac:dyDescent="0.25">
      <c r="A1071" s="2">
        <v>45587</v>
      </c>
      <c r="B1071">
        <v>2024</v>
      </c>
      <c r="C1071" t="s">
        <v>34</v>
      </c>
      <c r="D1071">
        <v>10</v>
      </c>
      <c r="E1071" t="s">
        <v>23</v>
      </c>
      <c r="F1071" t="s">
        <v>15</v>
      </c>
      <c r="G1071" s="3">
        <v>303</v>
      </c>
      <c r="H1071" s="3">
        <v>125.08</v>
      </c>
      <c r="I1071" s="3">
        <v>37899.24</v>
      </c>
      <c r="J1071" s="3">
        <v>23.09</v>
      </c>
    </row>
    <row r="1072" spans="1:10" x14ac:dyDescent="0.25">
      <c r="A1072" s="2">
        <v>45587</v>
      </c>
      <c r="B1072">
        <v>2024</v>
      </c>
      <c r="C1072" t="s">
        <v>34</v>
      </c>
      <c r="D1072">
        <v>10</v>
      </c>
      <c r="E1072" t="s">
        <v>23</v>
      </c>
      <c r="F1072" t="s">
        <v>16</v>
      </c>
      <c r="G1072" s="3">
        <v>59</v>
      </c>
      <c r="H1072" s="3">
        <v>106.74</v>
      </c>
      <c r="I1072" s="3">
        <v>6297.66</v>
      </c>
      <c r="J1072" s="3">
        <v>-0.53</v>
      </c>
    </row>
    <row r="1073" spans="1:10" x14ac:dyDescent="0.25">
      <c r="A1073" s="2">
        <v>45587</v>
      </c>
      <c r="B1073">
        <v>2024</v>
      </c>
      <c r="C1073" t="s">
        <v>34</v>
      </c>
      <c r="D1073">
        <v>10</v>
      </c>
      <c r="E1073" t="s">
        <v>23</v>
      </c>
      <c r="F1073" t="s">
        <v>18</v>
      </c>
      <c r="G1073" s="3">
        <v>151</v>
      </c>
      <c r="H1073" s="3">
        <v>160.53</v>
      </c>
      <c r="I1073" s="3">
        <v>24240.03</v>
      </c>
      <c r="J1073" s="3">
        <v>13.34</v>
      </c>
    </row>
    <row r="1074" spans="1:10" x14ac:dyDescent="0.25">
      <c r="A1074" s="2">
        <v>45587</v>
      </c>
      <c r="B1074">
        <v>2024</v>
      </c>
      <c r="C1074" t="s">
        <v>34</v>
      </c>
      <c r="D1074">
        <v>10</v>
      </c>
      <c r="E1074" t="s">
        <v>23</v>
      </c>
      <c r="F1074" t="s">
        <v>19</v>
      </c>
      <c r="G1074" s="3">
        <v>612</v>
      </c>
      <c r="H1074" s="3">
        <v>86.47</v>
      </c>
      <c r="I1074" s="3">
        <v>52919.64</v>
      </c>
      <c r="J1074" s="3">
        <v>22.32</v>
      </c>
    </row>
    <row r="1075" spans="1:10" x14ac:dyDescent="0.25">
      <c r="A1075" s="2">
        <v>45587</v>
      </c>
      <c r="B1075">
        <v>2024</v>
      </c>
      <c r="C1075" t="s">
        <v>34</v>
      </c>
      <c r="D1075">
        <v>10</v>
      </c>
      <c r="E1075" t="s">
        <v>23</v>
      </c>
      <c r="F1075" t="s">
        <v>20</v>
      </c>
      <c r="G1075" s="3">
        <v>137</v>
      </c>
      <c r="H1075" s="3">
        <v>48.62</v>
      </c>
      <c r="I1075" s="3">
        <v>6660.94</v>
      </c>
      <c r="J1075" s="3">
        <v>-7.79</v>
      </c>
    </row>
    <row r="1076" spans="1:10" x14ac:dyDescent="0.25">
      <c r="A1076" s="2">
        <v>45587</v>
      </c>
      <c r="B1076">
        <v>2024</v>
      </c>
      <c r="C1076" t="s">
        <v>34</v>
      </c>
      <c r="D1076">
        <v>10</v>
      </c>
      <c r="E1076" t="s">
        <v>23</v>
      </c>
      <c r="F1076" t="s">
        <v>21</v>
      </c>
      <c r="G1076" s="3">
        <v>472</v>
      </c>
      <c r="H1076" s="3">
        <v>103.11</v>
      </c>
      <c r="I1076" s="3">
        <v>48667.92</v>
      </c>
      <c r="J1076" s="3">
        <v>21.84</v>
      </c>
    </row>
    <row r="1077" spans="1:10" x14ac:dyDescent="0.25">
      <c r="A1077" s="2">
        <v>45587</v>
      </c>
      <c r="B1077">
        <v>2024</v>
      </c>
      <c r="C1077" t="s">
        <v>34</v>
      </c>
      <c r="D1077">
        <v>10</v>
      </c>
      <c r="E1077" t="s">
        <v>23</v>
      </c>
      <c r="F1077" t="s">
        <v>22</v>
      </c>
      <c r="G1077" s="3">
        <v>456</v>
      </c>
      <c r="H1077" s="3">
        <v>42.52</v>
      </c>
      <c r="I1077" s="3">
        <v>19389.12</v>
      </c>
      <c r="J1077" s="3">
        <v>19.02</v>
      </c>
    </row>
    <row r="1078" spans="1:10" x14ac:dyDescent="0.25">
      <c r="A1078" s="2">
        <v>45587</v>
      </c>
      <c r="B1078">
        <v>2024</v>
      </c>
      <c r="C1078" t="s">
        <v>34</v>
      </c>
      <c r="D1078">
        <v>10</v>
      </c>
      <c r="E1078" t="s">
        <v>23</v>
      </c>
      <c r="F1078" t="s">
        <v>25</v>
      </c>
      <c r="G1078" s="3">
        <v>362</v>
      </c>
      <c r="H1078" s="3">
        <v>69.33</v>
      </c>
      <c r="I1078" s="3">
        <v>25097.46</v>
      </c>
      <c r="J1078" s="3">
        <v>17.28</v>
      </c>
    </row>
    <row r="1079" spans="1:10" x14ac:dyDescent="0.25">
      <c r="A1079" s="2">
        <v>45587</v>
      </c>
      <c r="B1079">
        <v>2024</v>
      </c>
      <c r="C1079" t="s">
        <v>34</v>
      </c>
      <c r="D1079">
        <v>10</v>
      </c>
      <c r="E1079" t="s">
        <v>13</v>
      </c>
      <c r="F1079" t="s">
        <v>24</v>
      </c>
      <c r="G1079" s="3">
        <v>230</v>
      </c>
      <c r="H1079" s="3">
        <v>157.80000000000001</v>
      </c>
      <c r="I1079" s="3">
        <v>36294</v>
      </c>
      <c r="J1079" s="3">
        <v>-15</v>
      </c>
    </row>
    <row r="1080" spans="1:10" x14ac:dyDescent="0.25">
      <c r="A1080" s="2">
        <v>45587</v>
      </c>
      <c r="B1080">
        <v>2024</v>
      </c>
      <c r="C1080" t="s">
        <v>34</v>
      </c>
      <c r="D1080">
        <v>10</v>
      </c>
      <c r="E1080" t="s">
        <v>23</v>
      </c>
      <c r="F1080" t="s">
        <v>24</v>
      </c>
      <c r="G1080" s="3">
        <v>321</v>
      </c>
      <c r="H1080" s="3">
        <v>34.119999999999997</v>
      </c>
      <c r="I1080" s="3">
        <v>10952.52</v>
      </c>
      <c r="J1080" s="3">
        <v>6.78</v>
      </c>
    </row>
    <row r="1081" spans="1:10" x14ac:dyDescent="0.25">
      <c r="A1081" s="2">
        <v>45587</v>
      </c>
      <c r="B1081">
        <v>2024</v>
      </c>
      <c r="C1081" t="s">
        <v>34</v>
      </c>
      <c r="D1081">
        <v>10</v>
      </c>
      <c r="E1081" t="s">
        <v>13</v>
      </c>
      <c r="F1081" t="s">
        <v>12</v>
      </c>
      <c r="G1081" s="3">
        <v>328</v>
      </c>
      <c r="H1081" s="3">
        <v>187.58</v>
      </c>
      <c r="I1081" s="3">
        <v>61526.239999999998</v>
      </c>
      <c r="J1081" s="3">
        <v>0.67</v>
      </c>
    </row>
    <row r="1082" spans="1:10" x14ac:dyDescent="0.25">
      <c r="A1082" s="2">
        <v>45587</v>
      </c>
      <c r="B1082">
        <v>2024</v>
      </c>
      <c r="C1082" t="s">
        <v>34</v>
      </c>
      <c r="D1082">
        <v>10</v>
      </c>
      <c r="E1082" t="s">
        <v>26</v>
      </c>
      <c r="F1082" t="s">
        <v>25</v>
      </c>
      <c r="G1082" s="3">
        <v>482</v>
      </c>
      <c r="H1082" s="3">
        <v>117.04</v>
      </c>
      <c r="I1082" s="3">
        <v>56413.279999999999</v>
      </c>
      <c r="J1082" s="3">
        <v>-3.7</v>
      </c>
    </row>
    <row r="1083" spans="1:10" x14ac:dyDescent="0.25">
      <c r="A1083" s="2">
        <v>45587</v>
      </c>
      <c r="B1083">
        <v>2024</v>
      </c>
      <c r="C1083" t="s">
        <v>34</v>
      </c>
      <c r="D1083">
        <v>10</v>
      </c>
      <c r="E1083" t="s">
        <v>26</v>
      </c>
      <c r="F1083" t="s">
        <v>22</v>
      </c>
      <c r="G1083" s="3">
        <v>585</v>
      </c>
      <c r="H1083" s="3">
        <v>137.84</v>
      </c>
      <c r="I1083" s="3">
        <v>80636.399999999994</v>
      </c>
      <c r="J1083" s="3">
        <v>-8.94</v>
      </c>
    </row>
    <row r="1084" spans="1:10" x14ac:dyDescent="0.25">
      <c r="A1084" s="2">
        <v>45587</v>
      </c>
      <c r="B1084">
        <v>2024</v>
      </c>
      <c r="C1084" t="s">
        <v>34</v>
      </c>
      <c r="D1084">
        <v>10</v>
      </c>
      <c r="E1084" t="s">
        <v>11</v>
      </c>
      <c r="F1084" t="s">
        <v>24</v>
      </c>
      <c r="G1084" s="3">
        <v>376</v>
      </c>
      <c r="H1084" s="3">
        <v>86.91</v>
      </c>
      <c r="I1084" s="3">
        <v>32678.16</v>
      </c>
      <c r="J1084" s="3">
        <v>0.7</v>
      </c>
    </row>
    <row r="1085" spans="1:10" x14ac:dyDescent="0.25">
      <c r="A1085" s="2">
        <v>45587</v>
      </c>
      <c r="B1085">
        <v>2024</v>
      </c>
      <c r="C1085" t="s">
        <v>34</v>
      </c>
      <c r="D1085">
        <v>10</v>
      </c>
      <c r="E1085" t="s">
        <v>11</v>
      </c>
      <c r="F1085" t="s">
        <v>14</v>
      </c>
      <c r="G1085" s="3">
        <v>678</v>
      </c>
      <c r="H1085" s="3">
        <v>25.87</v>
      </c>
      <c r="I1085" s="3">
        <v>17539.86</v>
      </c>
      <c r="J1085" s="3">
        <v>-12.69</v>
      </c>
    </row>
    <row r="1086" spans="1:10" x14ac:dyDescent="0.25">
      <c r="A1086" s="2">
        <v>45587</v>
      </c>
      <c r="B1086">
        <v>2024</v>
      </c>
      <c r="C1086" t="s">
        <v>34</v>
      </c>
      <c r="D1086">
        <v>10</v>
      </c>
      <c r="E1086" t="s">
        <v>11</v>
      </c>
      <c r="F1086" t="s">
        <v>15</v>
      </c>
      <c r="G1086" s="3">
        <v>408</v>
      </c>
      <c r="H1086" s="3">
        <v>123.88</v>
      </c>
      <c r="I1086" s="3">
        <v>50543.040000000001</v>
      </c>
      <c r="J1086" s="3">
        <v>-0.72</v>
      </c>
    </row>
    <row r="1087" spans="1:10" x14ac:dyDescent="0.25">
      <c r="A1087" s="2">
        <v>45587</v>
      </c>
      <c r="B1087">
        <v>2024</v>
      </c>
      <c r="C1087" t="s">
        <v>34</v>
      </c>
      <c r="D1087">
        <v>10</v>
      </c>
      <c r="E1087" t="s">
        <v>11</v>
      </c>
      <c r="F1087" t="s">
        <v>16</v>
      </c>
      <c r="G1087" s="3">
        <v>323</v>
      </c>
      <c r="H1087" s="3">
        <v>198.64</v>
      </c>
      <c r="I1087" s="3">
        <v>64160.72</v>
      </c>
      <c r="J1087" s="3">
        <v>0.45</v>
      </c>
    </row>
    <row r="1088" spans="1:10" x14ac:dyDescent="0.25">
      <c r="A1088" s="2">
        <v>45587</v>
      </c>
      <c r="B1088">
        <v>2024</v>
      </c>
      <c r="C1088" t="s">
        <v>34</v>
      </c>
      <c r="D1088">
        <v>10</v>
      </c>
      <c r="E1088" t="s">
        <v>11</v>
      </c>
      <c r="F1088" t="s">
        <v>17</v>
      </c>
      <c r="G1088" s="3">
        <v>742</v>
      </c>
      <c r="H1088" s="3">
        <v>84.54</v>
      </c>
      <c r="I1088" s="3">
        <v>62728.68</v>
      </c>
      <c r="J1088" s="3">
        <v>11.27</v>
      </c>
    </row>
    <row r="1089" spans="1:10" x14ac:dyDescent="0.25">
      <c r="A1089" s="2">
        <v>45587</v>
      </c>
      <c r="B1089">
        <v>2024</v>
      </c>
      <c r="C1089" t="s">
        <v>34</v>
      </c>
      <c r="D1089">
        <v>10</v>
      </c>
      <c r="E1089" t="s">
        <v>11</v>
      </c>
      <c r="F1089" t="s">
        <v>18</v>
      </c>
      <c r="G1089" s="3">
        <v>163</v>
      </c>
      <c r="H1089" s="3">
        <v>182.4</v>
      </c>
      <c r="I1089" s="3">
        <v>29731.200000000001</v>
      </c>
      <c r="J1089" s="3">
        <v>20.09</v>
      </c>
    </row>
    <row r="1090" spans="1:10" x14ac:dyDescent="0.25">
      <c r="A1090" s="2">
        <v>45587</v>
      </c>
      <c r="B1090">
        <v>2024</v>
      </c>
      <c r="C1090" t="s">
        <v>34</v>
      </c>
      <c r="D1090">
        <v>10</v>
      </c>
      <c r="E1090" t="s">
        <v>11</v>
      </c>
      <c r="F1090" t="s">
        <v>19</v>
      </c>
      <c r="G1090" s="3">
        <v>453</v>
      </c>
      <c r="H1090" s="3">
        <v>38.32</v>
      </c>
      <c r="I1090" s="3">
        <v>17358.96</v>
      </c>
      <c r="J1090" s="3">
        <v>5.24</v>
      </c>
    </row>
    <row r="1091" spans="1:10" x14ac:dyDescent="0.25">
      <c r="A1091" s="2">
        <v>45587</v>
      </c>
      <c r="B1091">
        <v>2024</v>
      </c>
      <c r="C1091" t="s">
        <v>34</v>
      </c>
      <c r="D1091">
        <v>10</v>
      </c>
      <c r="E1091" t="s">
        <v>11</v>
      </c>
      <c r="F1091" t="s">
        <v>20</v>
      </c>
      <c r="G1091" s="3">
        <v>764</v>
      </c>
      <c r="H1091" s="3">
        <v>155.32</v>
      </c>
      <c r="I1091" s="3">
        <v>118664.48</v>
      </c>
      <c r="J1091" s="3">
        <v>-5.85</v>
      </c>
    </row>
    <row r="1092" spans="1:10" x14ac:dyDescent="0.25">
      <c r="A1092" s="2">
        <v>45587</v>
      </c>
      <c r="B1092">
        <v>2024</v>
      </c>
      <c r="C1092" t="s">
        <v>34</v>
      </c>
      <c r="D1092">
        <v>10</v>
      </c>
      <c r="E1092" t="s">
        <v>11</v>
      </c>
      <c r="F1092" t="s">
        <v>21</v>
      </c>
      <c r="G1092" s="3">
        <v>242</v>
      </c>
      <c r="H1092" s="3">
        <v>51.54</v>
      </c>
      <c r="I1092" s="3">
        <v>12472.68</v>
      </c>
      <c r="J1092" s="3">
        <v>19.670000000000002</v>
      </c>
    </row>
    <row r="1093" spans="1:10" x14ac:dyDescent="0.25">
      <c r="A1093" s="2">
        <v>45587</v>
      </c>
      <c r="B1093">
        <v>2024</v>
      </c>
      <c r="C1093" t="s">
        <v>34</v>
      </c>
      <c r="D1093">
        <v>10</v>
      </c>
      <c r="E1093" t="s">
        <v>11</v>
      </c>
      <c r="F1093" t="s">
        <v>22</v>
      </c>
      <c r="G1093" s="3">
        <v>798</v>
      </c>
      <c r="H1093" s="3">
        <v>60.48</v>
      </c>
      <c r="I1093" s="3">
        <v>48263.040000000001</v>
      </c>
      <c r="J1093" s="3">
        <v>2.2599999999999998</v>
      </c>
    </row>
    <row r="1094" spans="1:10" x14ac:dyDescent="0.25">
      <c r="A1094" s="2">
        <v>45587</v>
      </c>
      <c r="B1094">
        <v>2024</v>
      </c>
      <c r="C1094" t="s">
        <v>34</v>
      </c>
      <c r="D1094">
        <v>10</v>
      </c>
      <c r="E1094" t="s">
        <v>11</v>
      </c>
      <c r="F1094" t="s">
        <v>12</v>
      </c>
      <c r="G1094" s="3">
        <v>548</v>
      </c>
      <c r="H1094" s="3">
        <v>109.04</v>
      </c>
      <c r="I1094" s="3">
        <v>59753.919999999998</v>
      </c>
      <c r="J1094" s="3">
        <v>5.51</v>
      </c>
    </row>
    <row r="1095" spans="1:10" x14ac:dyDescent="0.25">
      <c r="A1095" s="2">
        <v>45587</v>
      </c>
      <c r="B1095">
        <v>2024</v>
      </c>
      <c r="C1095" t="s">
        <v>34</v>
      </c>
      <c r="D1095">
        <v>10</v>
      </c>
      <c r="E1095" t="s">
        <v>26</v>
      </c>
      <c r="F1095" t="s">
        <v>12</v>
      </c>
      <c r="G1095" s="3">
        <v>148</v>
      </c>
      <c r="H1095" s="3">
        <v>78.739999999999995</v>
      </c>
      <c r="I1095" s="3">
        <v>11653.52</v>
      </c>
      <c r="J1095" s="3">
        <v>18.59</v>
      </c>
    </row>
    <row r="1096" spans="1:10" x14ac:dyDescent="0.25">
      <c r="A1096" s="2">
        <v>45587</v>
      </c>
      <c r="B1096">
        <v>2024</v>
      </c>
      <c r="C1096" t="s">
        <v>34</v>
      </c>
      <c r="D1096">
        <v>10</v>
      </c>
      <c r="E1096" t="s">
        <v>26</v>
      </c>
      <c r="F1096" t="s">
        <v>24</v>
      </c>
      <c r="G1096" s="3">
        <v>158</v>
      </c>
      <c r="H1096" s="3">
        <v>83.55</v>
      </c>
      <c r="I1096" s="3">
        <v>13200.9</v>
      </c>
      <c r="J1096" s="3">
        <v>20.76</v>
      </c>
    </row>
    <row r="1097" spans="1:10" x14ac:dyDescent="0.25">
      <c r="A1097" s="2">
        <v>45587</v>
      </c>
      <c r="B1097">
        <v>2024</v>
      </c>
      <c r="C1097" t="s">
        <v>34</v>
      </c>
      <c r="D1097">
        <v>10</v>
      </c>
      <c r="E1097" t="s">
        <v>26</v>
      </c>
      <c r="F1097" t="s">
        <v>14</v>
      </c>
      <c r="G1097" s="3">
        <v>376</v>
      </c>
      <c r="H1097" s="3">
        <v>172.25</v>
      </c>
      <c r="I1097" s="3">
        <v>64766</v>
      </c>
      <c r="J1097" s="3">
        <v>1.04</v>
      </c>
    </row>
    <row r="1098" spans="1:10" x14ac:dyDescent="0.25">
      <c r="A1098" s="2">
        <v>45587</v>
      </c>
      <c r="B1098">
        <v>2024</v>
      </c>
      <c r="C1098" t="s">
        <v>34</v>
      </c>
      <c r="D1098">
        <v>10</v>
      </c>
      <c r="E1098" t="s">
        <v>26</v>
      </c>
      <c r="F1098" t="s">
        <v>15</v>
      </c>
      <c r="G1098" s="3">
        <v>511</v>
      </c>
      <c r="H1098" s="3">
        <v>160.47</v>
      </c>
      <c r="I1098" s="3">
        <v>82000.17</v>
      </c>
      <c r="J1098" s="3">
        <v>4.05</v>
      </c>
    </row>
    <row r="1099" spans="1:10" x14ac:dyDescent="0.25">
      <c r="A1099" s="2">
        <v>45587</v>
      </c>
      <c r="B1099">
        <v>2024</v>
      </c>
      <c r="C1099" t="s">
        <v>34</v>
      </c>
      <c r="D1099">
        <v>10</v>
      </c>
      <c r="E1099" t="s">
        <v>26</v>
      </c>
      <c r="F1099" t="s">
        <v>16</v>
      </c>
      <c r="G1099" s="3">
        <v>448</v>
      </c>
      <c r="H1099" s="3">
        <v>118.01</v>
      </c>
      <c r="I1099" s="3">
        <v>52868.480000000003</v>
      </c>
      <c r="J1099" s="3">
        <v>-6.82</v>
      </c>
    </row>
    <row r="1100" spans="1:10" x14ac:dyDescent="0.25">
      <c r="A1100" s="2">
        <v>45587</v>
      </c>
      <c r="B1100">
        <v>2024</v>
      </c>
      <c r="C1100" t="s">
        <v>34</v>
      </c>
      <c r="D1100">
        <v>10</v>
      </c>
      <c r="E1100" t="s">
        <v>26</v>
      </c>
      <c r="F1100" t="s">
        <v>17</v>
      </c>
      <c r="G1100" s="3">
        <v>602</v>
      </c>
      <c r="H1100" s="3">
        <v>73.23</v>
      </c>
      <c r="I1100" s="3">
        <v>44084.46</v>
      </c>
      <c r="J1100" s="3">
        <v>8.75</v>
      </c>
    </row>
    <row r="1101" spans="1:10" x14ac:dyDescent="0.25">
      <c r="A1101" s="2">
        <v>45587</v>
      </c>
      <c r="B1101">
        <v>2024</v>
      </c>
      <c r="C1101" t="s">
        <v>34</v>
      </c>
      <c r="D1101">
        <v>10</v>
      </c>
      <c r="E1101" t="s">
        <v>26</v>
      </c>
      <c r="F1101" t="s">
        <v>18</v>
      </c>
      <c r="G1101" s="3">
        <v>607</v>
      </c>
      <c r="H1101" s="3">
        <v>57.27</v>
      </c>
      <c r="I1101" s="3">
        <v>34762.89</v>
      </c>
      <c r="J1101" s="3">
        <v>-12.15</v>
      </c>
    </row>
    <row r="1102" spans="1:10" x14ac:dyDescent="0.25">
      <c r="A1102" s="2">
        <v>45587</v>
      </c>
      <c r="B1102">
        <v>2024</v>
      </c>
      <c r="C1102" t="s">
        <v>34</v>
      </c>
      <c r="D1102">
        <v>10</v>
      </c>
      <c r="E1102" t="s">
        <v>26</v>
      </c>
      <c r="F1102" t="s">
        <v>19</v>
      </c>
      <c r="G1102" s="3">
        <v>320</v>
      </c>
      <c r="H1102" s="3">
        <v>178.31</v>
      </c>
      <c r="I1102" s="3">
        <v>57059.199999999997</v>
      </c>
      <c r="J1102" s="3">
        <v>3.4</v>
      </c>
    </row>
    <row r="1103" spans="1:10" x14ac:dyDescent="0.25">
      <c r="A1103" s="2">
        <v>45587</v>
      </c>
      <c r="B1103">
        <v>2024</v>
      </c>
      <c r="C1103" t="s">
        <v>34</v>
      </c>
      <c r="D1103">
        <v>10</v>
      </c>
      <c r="E1103" t="s">
        <v>26</v>
      </c>
      <c r="F1103" t="s">
        <v>20</v>
      </c>
      <c r="G1103" s="3">
        <v>416</v>
      </c>
      <c r="H1103" s="3">
        <v>165.96</v>
      </c>
      <c r="I1103" s="3">
        <v>69039.360000000001</v>
      </c>
      <c r="J1103" s="3">
        <v>18.43</v>
      </c>
    </row>
    <row r="1104" spans="1:10" x14ac:dyDescent="0.25">
      <c r="A1104" s="2">
        <v>45587</v>
      </c>
      <c r="B1104">
        <v>2024</v>
      </c>
      <c r="C1104" t="s">
        <v>34</v>
      </c>
      <c r="D1104">
        <v>10</v>
      </c>
      <c r="E1104" t="s">
        <v>26</v>
      </c>
      <c r="F1104" t="s">
        <v>21</v>
      </c>
      <c r="G1104" s="3">
        <v>238</v>
      </c>
      <c r="H1104" s="3">
        <v>150.81</v>
      </c>
      <c r="I1104" s="3">
        <v>35892.78</v>
      </c>
      <c r="J1104" s="3">
        <v>15.96</v>
      </c>
    </row>
    <row r="1105" spans="1:10" x14ac:dyDescent="0.25">
      <c r="A1105" s="2">
        <v>45587</v>
      </c>
      <c r="B1105">
        <v>2024</v>
      </c>
      <c r="C1105" t="s">
        <v>34</v>
      </c>
      <c r="D1105">
        <v>10</v>
      </c>
      <c r="E1105" t="s">
        <v>11</v>
      </c>
      <c r="F1105" t="s">
        <v>25</v>
      </c>
      <c r="G1105" s="3">
        <v>305</v>
      </c>
      <c r="H1105" s="3">
        <v>98.59</v>
      </c>
      <c r="I1105" s="3">
        <v>30069.95</v>
      </c>
      <c r="J1105" s="3">
        <v>8.1999999999999993</v>
      </c>
    </row>
    <row r="1106" spans="1:10" x14ac:dyDescent="0.25">
      <c r="A1106" s="2">
        <v>45617</v>
      </c>
      <c r="B1106">
        <v>2024</v>
      </c>
      <c r="C1106" t="s">
        <v>35</v>
      </c>
      <c r="D1106">
        <v>11</v>
      </c>
      <c r="E1106" t="s">
        <v>13</v>
      </c>
      <c r="F1106" t="s">
        <v>21</v>
      </c>
      <c r="G1106" s="3">
        <v>738</v>
      </c>
      <c r="H1106" s="3">
        <v>91.57</v>
      </c>
      <c r="I1106" s="3">
        <v>67578.66</v>
      </c>
      <c r="J1106" s="3">
        <v>-4.43</v>
      </c>
    </row>
    <row r="1107" spans="1:10" x14ac:dyDescent="0.25">
      <c r="A1107" s="2">
        <v>45617</v>
      </c>
      <c r="B1107">
        <v>2024</v>
      </c>
      <c r="C1107" t="s">
        <v>35</v>
      </c>
      <c r="D1107">
        <v>11</v>
      </c>
      <c r="E1107" t="s">
        <v>13</v>
      </c>
      <c r="F1107" t="s">
        <v>20</v>
      </c>
      <c r="G1107" s="3">
        <v>523</v>
      </c>
      <c r="H1107" s="3">
        <v>124.79</v>
      </c>
      <c r="I1107" s="3">
        <v>65265.17</v>
      </c>
      <c r="J1107" s="3">
        <v>-6.82</v>
      </c>
    </row>
    <row r="1108" spans="1:10" x14ac:dyDescent="0.25">
      <c r="A1108" s="2">
        <v>45617</v>
      </c>
      <c r="B1108">
        <v>2024</v>
      </c>
      <c r="C1108" t="s">
        <v>35</v>
      </c>
      <c r="D1108">
        <v>11</v>
      </c>
      <c r="E1108" t="s">
        <v>13</v>
      </c>
      <c r="F1108" t="s">
        <v>19</v>
      </c>
      <c r="G1108" s="3">
        <v>461</v>
      </c>
      <c r="H1108" s="3">
        <v>92.65</v>
      </c>
      <c r="I1108" s="3">
        <v>42711.65</v>
      </c>
      <c r="J1108" s="3">
        <v>14.52</v>
      </c>
    </row>
    <row r="1109" spans="1:10" x14ac:dyDescent="0.25">
      <c r="A1109" s="2">
        <v>45617</v>
      </c>
      <c r="B1109">
        <v>2024</v>
      </c>
      <c r="C1109" t="s">
        <v>35</v>
      </c>
      <c r="D1109">
        <v>11</v>
      </c>
      <c r="E1109" t="s">
        <v>13</v>
      </c>
      <c r="F1109" t="s">
        <v>14</v>
      </c>
      <c r="G1109" s="3">
        <v>575</v>
      </c>
      <c r="H1109" s="3">
        <v>160.58000000000001</v>
      </c>
      <c r="I1109" s="3">
        <v>92333.5</v>
      </c>
      <c r="J1109" s="3">
        <v>16.41</v>
      </c>
    </row>
    <row r="1110" spans="1:10" x14ac:dyDescent="0.25">
      <c r="A1110" s="2">
        <v>45617</v>
      </c>
      <c r="B1110">
        <v>2024</v>
      </c>
      <c r="C1110" t="s">
        <v>35</v>
      </c>
      <c r="D1110">
        <v>11</v>
      </c>
      <c r="E1110" t="s">
        <v>13</v>
      </c>
      <c r="F1110" t="s">
        <v>17</v>
      </c>
      <c r="G1110" s="3">
        <v>441</v>
      </c>
      <c r="H1110" s="3">
        <v>32.15</v>
      </c>
      <c r="I1110" s="3">
        <v>14178.15</v>
      </c>
      <c r="J1110" s="3">
        <v>5.75</v>
      </c>
    </row>
    <row r="1111" spans="1:10" x14ac:dyDescent="0.25">
      <c r="A1111" s="2">
        <v>45617</v>
      </c>
      <c r="B1111">
        <v>2024</v>
      </c>
      <c r="C1111" t="s">
        <v>35</v>
      </c>
      <c r="D1111">
        <v>11</v>
      </c>
      <c r="E1111" t="s">
        <v>13</v>
      </c>
      <c r="F1111" t="s">
        <v>16</v>
      </c>
      <c r="G1111" s="3">
        <v>387</v>
      </c>
      <c r="H1111" s="3">
        <v>189.43</v>
      </c>
      <c r="I1111" s="3">
        <v>73309.41</v>
      </c>
      <c r="J1111" s="3">
        <v>21.59</v>
      </c>
    </row>
    <row r="1112" spans="1:10" x14ac:dyDescent="0.25">
      <c r="A1112" s="2">
        <v>45617</v>
      </c>
      <c r="B1112">
        <v>2024</v>
      </c>
      <c r="C1112" t="s">
        <v>35</v>
      </c>
      <c r="D1112">
        <v>11</v>
      </c>
      <c r="E1112" t="s">
        <v>13</v>
      </c>
      <c r="F1112" t="s">
        <v>15</v>
      </c>
      <c r="G1112" s="3">
        <v>526</v>
      </c>
      <c r="H1112" s="3">
        <v>38.25</v>
      </c>
      <c r="I1112" s="3">
        <v>20119.5</v>
      </c>
      <c r="J1112" s="3">
        <v>-3.89</v>
      </c>
    </row>
    <row r="1113" spans="1:10" x14ac:dyDescent="0.25">
      <c r="A1113" s="2">
        <v>45617</v>
      </c>
      <c r="B1113">
        <v>2024</v>
      </c>
      <c r="C1113" t="s">
        <v>35</v>
      </c>
      <c r="D1113">
        <v>11</v>
      </c>
      <c r="E1113" t="s">
        <v>13</v>
      </c>
      <c r="F1113" t="s">
        <v>22</v>
      </c>
      <c r="G1113" s="3">
        <v>147</v>
      </c>
      <c r="H1113" s="3">
        <v>106.95</v>
      </c>
      <c r="I1113" s="3">
        <v>15721.65</v>
      </c>
      <c r="J1113" s="3">
        <v>-4.26</v>
      </c>
    </row>
    <row r="1114" spans="1:10" x14ac:dyDescent="0.25">
      <c r="A1114" s="2">
        <v>45617</v>
      </c>
      <c r="B1114">
        <v>2024</v>
      </c>
      <c r="C1114" t="s">
        <v>35</v>
      </c>
      <c r="D1114">
        <v>11</v>
      </c>
      <c r="E1114" t="s">
        <v>13</v>
      </c>
      <c r="F1114" t="s">
        <v>18</v>
      </c>
      <c r="G1114" s="3">
        <v>66</v>
      </c>
      <c r="H1114" s="3">
        <v>38.56</v>
      </c>
      <c r="I1114" s="3">
        <v>2544.96</v>
      </c>
      <c r="J1114" s="3">
        <v>6.91</v>
      </c>
    </row>
    <row r="1115" spans="1:10" x14ac:dyDescent="0.25">
      <c r="A1115" s="2">
        <v>45617</v>
      </c>
      <c r="B1115">
        <v>2024</v>
      </c>
      <c r="C1115" t="s">
        <v>35</v>
      </c>
      <c r="D1115">
        <v>11</v>
      </c>
      <c r="E1115" t="s">
        <v>13</v>
      </c>
      <c r="F1115" t="s">
        <v>25</v>
      </c>
      <c r="G1115" s="3">
        <v>685</v>
      </c>
      <c r="H1115" s="3">
        <v>118.93</v>
      </c>
      <c r="I1115" s="3">
        <v>81467.05</v>
      </c>
      <c r="J1115" s="3">
        <v>12.59</v>
      </c>
    </row>
    <row r="1116" spans="1:10" x14ac:dyDescent="0.25">
      <c r="A1116" s="2">
        <v>45617</v>
      </c>
      <c r="B1116">
        <v>2024</v>
      </c>
      <c r="C1116" t="s">
        <v>35</v>
      </c>
      <c r="D1116">
        <v>11</v>
      </c>
      <c r="E1116" t="s">
        <v>23</v>
      </c>
      <c r="F1116" t="s">
        <v>17</v>
      </c>
      <c r="G1116" s="3">
        <v>768</v>
      </c>
      <c r="H1116" s="3">
        <v>121.46</v>
      </c>
      <c r="I1116" s="3">
        <v>93281.279999999999</v>
      </c>
      <c r="J1116" s="3">
        <v>3.03</v>
      </c>
    </row>
    <row r="1117" spans="1:10" x14ac:dyDescent="0.25">
      <c r="A1117" s="2">
        <v>45617</v>
      </c>
      <c r="B1117">
        <v>2024</v>
      </c>
      <c r="C1117" t="s">
        <v>35</v>
      </c>
      <c r="D1117">
        <v>11</v>
      </c>
      <c r="E1117" t="s">
        <v>23</v>
      </c>
      <c r="F1117" t="s">
        <v>24</v>
      </c>
      <c r="G1117" s="3">
        <v>718</v>
      </c>
      <c r="H1117" s="3">
        <v>186.59</v>
      </c>
      <c r="I1117" s="3">
        <v>133971.62</v>
      </c>
      <c r="J1117" s="3">
        <v>-12.27</v>
      </c>
    </row>
    <row r="1118" spans="1:10" x14ac:dyDescent="0.25">
      <c r="A1118" s="2">
        <v>45617</v>
      </c>
      <c r="B1118">
        <v>2024</v>
      </c>
      <c r="C1118" t="s">
        <v>35</v>
      </c>
      <c r="D1118">
        <v>11</v>
      </c>
      <c r="E1118" t="s">
        <v>23</v>
      </c>
      <c r="F1118" t="s">
        <v>14</v>
      </c>
      <c r="G1118" s="3">
        <v>602</v>
      </c>
      <c r="H1118" s="3">
        <v>36.57</v>
      </c>
      <c r="I1118" s="3">
        <v>22015.14</v>
      </c>
      <c r="J1118" s="3">
        <v>8.9600000000000009</v>
      </c>
    </row>
    <row r="1119" spans="1:10" x14ac:dyDescent="0.25">
      <c r="A1119" s="2">
        <v>45617</v>
      </c>
      <c r="B1119">
        <v>2024</v>
      </c>
      <c r="C1119" t="s">
        <v>35</v>
      </c>
      <c r="D1119">
        <v>11</v>
      </c>
      <c r="E1119" t="s">
        <v>23</v>
      </c>
      <c r="F1119" t="s">
        <v>15</v>
      </c>
      <c r="G1119" s="3">
        <v>645</v>
      </c>
      <c r="H1119" s="3">
        <v>36.58</v>
      </c>
      <c r="I1119" s="3">
        <v>23594.1</v>
      </c>
      <c r="J1119" s="3">
        <v>7.14</v>
      </c>
    </row>
    <row r="1120" spans="1:10" x14ac:dyDescent="0.25">
      <c r="A1120" s="2">
        <v>45617</v>
      </c>
      <c r="B1120">
        <v>2024</v>
      </c>
      <c r="C1120" t="s">
        <v>35</v>
      </c>
      <c r="D1120">
        <v>11</v>
      </c>
      <c r="E1120" t="s">
        <v>23</v>
      </c>
      <c r="F1120" t="s">
        <v>16</v>
      </c>
      <c r="G1120" s="3">
        <v>358</v>
      </c>
      <c r="H1120" s="3">
        <v>22.72</v>
      </c>
      <c r="I1120" s="3">
        <v>8133.76</v>
      </c>
      <c r="J1120" s="3">
        <v>23.6</v>
      </c>
    </row>
    <row r="1121" spans="1:10" x14ac:dyDescent="0.25">
      <c r="A1121" s="2">
        <v>45617</v>
      </c>
      <c r="B1121">
        <v>2024</v>
      </c>
      <c r="C1121" t="s">
        <v>35</v>
      </c>
      <c r="D1121">
        <v>11</v>
      </c>
      <c r="E1121" t="s">
        <v>23</v>
      </c>
      <c r="F1121" t="s">
        <v>18</v>
      </c>
      <c r="G1121" s="3">
        <v>401</v>
      </c>
      <c r="H1121" s="3">
        <v>129.80000000000001</v>
      </c>
      <c r="I1121" s="3">
        <v>52049.8</v>
      </c>
      <c r="J1121" s="3">
        <v>-2.48</v>
      </c>
    </row>
    <row r="1122" spans="1:10" x14ac:dyDescent="0.25">
      <c r="A1122" s="2">
        <v>45617</v>
      </c>
      <c r="B1122">
        <v>2024</v>
      </c>
      <c r="C1122" t="s">
        <v>35</v>
      </c>
      <c r="D1122">
        <v>11</v>
      </c>
      <c r="E1122" t="s">
        <v>23</v>
      </c>
      <c r="F1122" t="s">
        <v>19</v>
      </c>
      <c r="G1122" s="3">
        <v>149</v>
      </c>
      <c r="H1122" s="3">
        <v>64.91</v>
      </c>
      <c r="I1122" s="3">
        <v>9671.59</v>
      </c>
      <c r="J1122" s="3">
        <v>-14.92</v>
      </c>
    </row>
    <row r="1123" spans="1:10" x14ac:dyDescent="0.25">
      <c r="A1123" s="2">
        <v>45617</v>
      </c>
      <c r="B1123">
        <v>2024</v>
      </c>
      <c r="C1123" t="s">
        <v>35</v>
      </c>
      <c r="D1123">
        <v>11</v>
      </c>
      <c r="E1123" t="s">
        <v>23</v>
      </c>
      <c r="F1123" t="s">
        <v>20</v>
      </c>
      <c r="G1123" s="3">
        <v>501</v>
      </c>
      <c r="H1123" s="3">
        <v>190.41</v>
      </c>
      <c r="I1123" s="3">
        <v>95395.41</v>
      </c>
      <c r="J1123" s="3">
        <v>-10.76</v>
      </c>
    </row>
    <row r="1124" spans="1:10" x14ac:dyDescent="0.25">
      <c r="A1124" s="2">
        <v>45617</v>
      </c>
      <c r="B1124">
        <v>2024</v>
      </c>
      <c r="C1124" t="s">
        <v>35</v>
      </c>
      <c r="D1124">
        <v>11</v>
      </c>
      <c r="E1124" t="s">
        <v>23</v>
      </c>
      <c r="F1124" t="s">
        <v>21</v>
      </c>
      <c r="G1124" s="3">
        <v>315</v>
      </c>
      <c r="H1124" s="3">
        <v>130.21</v>
      </c>
      <c r="I1124" s="3">
        <v>41016.15</v>
      </c>
      <c r="J1124" s="3">
        <v>-6.48</v>
      </c>
    </row>
    <row r="1125" spans="1:10" x14ac:dyDescent="0.25">
      <c r="A1125" s="2">
        <v>45617</v>
      </c>
      <c r="B1125">
        <v>2024</v>
      </c>
      <c r="C1125" t="s">
        <v>35</v>
      </c>
      <c r="D1125">
        <v>11</v>
      </c>
      <c r="E1125" t="s">
        <v>23</v>
      </c>
      <c r="F1125" t="s">
        <v>22</v>
      </c>
      <c r="G1125" s="3">
        <v>609</v>
      </c>
      <c r="H1125" s="3">
        <v>21.2</v>
      </c>
      <c r="I1125" s="3">
        <v>12910.8</v>
      </c>
      <c r="J1125" s="3">
        <v>15.89</v>
      </c>
    </row>
    <row r="1126" spans="1:10" x14ac:dyDescent="0.25">
      <c r="A1126" s="2">
        <v>45617</v>
      </c>
      <c r="B1126">
        <v>2024</v>
      </c>
      <c r="C1126" t="s">
        <v>35</v>
      </c>
      <c r="D1126">
        <v>11</v>
      </c>
      <c r="E1126" t="s">
        <v>13</v>
      </c>
      <c r="F1126" t="s">
        <v>24</v>
      </c>
      <c r="G1126" s="3">
        <v>133</v>
      </c>
      <c r="H1126" s="3">
        <v>140.87</v>
      </c>
      <c r="I1126" s="3">
        <v>18735.71</v>
      </c>
      <c r="J1126" s="3">
        <v>10.29</v>
      </c>
    </row>
    <row r="1127" spans="1:10" x14ac:dyDescent="0.25">
      <c r="A1127" s="2">
        <v>45617</v>
      </c>
      <c r="B1127">
        <v>2024</v>
      </c>
      <c r="C1127" t="s">
        <v>35</v>
      </c>
      <c r="D1127">
        <v>11</v>
      </c>
      <c r="E1127" t="s">
        <v>23</v>
      </c>
      <c r="F1127" t="s">
        <v>12</v>
      </c>
      <c r="G1127" s="3">
        <v>203</v>
      </c>
      <c r="H1127" s="3">
        <v>128.65</v>
      </c>
      <c r="I1127" s="3">
        <v>26115.95</v>
      </c>
      <c r="J1127" s="3">
        <v>-11.92</v>
      </c>
    </row>
    <row r="1128" spans="1:10" x14ac:dyDescent="0.25">
      <c r="A1128" s="2">
        <v>45617</v>
      </c>
      <c r="B1128">
        <v>2024</v>
      </c>
      <c r="C1128" t="s">
        <v>35</v>
      </c>
      <c r="D1128">
        <v>11</v>
      </c>
      <c r="E1128" t="s">
        <v>13</v>
      </c>
      <c r="F1128" t="s">
        <v>12</v>
      </c>
      <c r="G1128" s="3">
        <v>608</v>
      </c>
      <c r="H1128" s="3">
        <v>88.66</v>
      </c>
      <c r="I1128" s="3">
        <v>53905.279999999999</v>
      </c>
      <c r="J1128" s="3">
        <v>24.28</v>
      </c>
    </row>
    <row r="1129" spans="1:10" x14ac:dyDescent="0.25">
      <c r="A1129" s="2">
        <v>45617</v>
      </c>
      <c r="B1129">
        <v>2024</v>
      </c>
      <c r="C1129" t="s">
        <v>35</v>
      </c>
      <c r="D1129">
        <v>11</v>
      </c>
      <c r="E1129" t="s">
        <v>23</v>
      </c>
      <c r="F1129" t="s">
        <v>25</v>
      </c>
      <c r="G1129" s="3">
        <v>659</v>
      </c>
      <c r="H1129" s="3">
        <v>87.24</v>
      </c>
      <c r="I1129" s="3">
        <v>57491.16</v>
      </c>
      <c r="J1129" s="3">
        <v>-12.98</v>
      </c>
    </row>
    <row r="1130" spans="1:10" x14ac:dyDescent="0.25">
      <c r="A1130" s="2">
        <v>45617</v>
      </c>
      <c r="B1130">
        <v>2024</v>
      </c>
      <c r="C1130" t="s">
        <v>35</v>
      </c>
      <c r="D1130">
        <v>11</v>
      </c>
      <c r="E1130" t="s">
        <v>26</v>
      </c>
      <c r="F1130" t="s">
        <v>22</v>
      </c>
      <c r="G1130" s="3">
        <v>367</v>
      </c>
      <c r="H1130" s="3">
        <v>35.11</v>
      </c>
      <c r="I1130" s="3">
        <v>12885.37</v>
      </c>
      <c r="J1130" s="3">
        <v>-1.66</v>
      </c>
    </row>
    <row r="1131" spans="1:10" x14ac:dyDescent="0.25">
      <c r="A1131" s="2">
        <v>45617</v>
      </c>
      <c r="B1131">
        <v>2024</v>
      </c>
      <c r="C1131" t="s">
        <v>35</v>
      </c>
      <c r="D1131">
        <v>11</v>
      </c>
      <c r="E1131" t="s">
        <v>11</v>
      </c>
      <c r="F1131" t="s">
        <v>12</v>
      </c>
      <c r="G1131" s="3">
        <v>526</v>
      </c>
      <c r="H1131" s="3">
        <v>45.59</v>
      </c>
      <c r="I1131" s="3">
        <v>23980.34</v>
      </c>
      <c r="J1131" s="3">
        <v>-6.46</v>
      </c>
    </row>
    <row r="1132" spans="1:10" x14ac:dyDescent="0.25">
      <c r="A1132" s="2">
        <v>45617</v>
      </c>
      <c r="B1132">
        <v>2024</v>
      </c>
      <c r="C1132" t="s">
        <v>35</v>
      </c>
      <c r="D1132">
        <v>11</v>
      </c>
      <c r="E1132" t="s">
        <v>11</v>
      </c>
      <c r="F1132" t="s">
        <v>24</v>
      </c>
      <c r="G1132" s="3">
        <v>389</v>
      </c>
      <c r="H1132" s="3">
        <v>196.13</v>
      </c>
      <c r="I1132" s="3">
        <v>76294.570000000007</v>
      </c>
      <c r="J1132" s="3">
        <v>19.260000000000002</v>
      </c>
    </row>
    <row r="1133" spans="1:10" x14ac:dyDescent="0.25">
      <c r="A1133" s="2">
        <v>45617</v>
      </c>
      <c r="B1133">
        <v>2024</v>
      </c>
      <c r="C1133" t="s">
        <v>35</v>
      </c>
      <c r="D1133">
        <v>11</v>
      </c>
      <c r="E1133" t="s">
        <v>11</v>
      </c>
      <c r="F1133" t="s">
        <v>14</v>
      </c>
      <c r="G1133" s="3">
        <v>624</v>
      </c>
      <c r="H1133" s="3">
        <v>157.65</v>
      </c>
      <c r="I1133" s="3">
        <v>98373.6</v>
      </c>
      <c r="J1133" s="3">
        <v>11.84</v>
      </c>
    </row>
    <row r="1134" spans="1:10" x14ac:dyDescent="0.25">
      <c r="A1134" s="2">
        <v>45617</v>
      </c>
      <c r="B1134">
        <v>2024</v>
      </c>
      <c r="C1134" t="s">
        <v>35</v>
      </c>
      <c r="D1134">
        <v>11</v>
      </c>
      <c r="E1134" t="s">
        <v>11</v>
      </c>
      <c r="F1134" t="s">
        <v>15</v>
      </c>
      <c r="G1134" s="3">
        <v>158</v>
      </c>
      <c r="H1134" s="3">
        <v>190.48</v>
      </c>
      <c r="I1134" s="3">
        <v>30095.84</v>
      </c>
      <c r="J1134" s="3">
        <v>4.8499999999999996</v>
      </c>
    </row>
    <row r="1135" spans="1:10" x14ac:dyDescent="0.25">
      <c r="A1135" s="2">
        <v>45617</v>
      </c>
      <c r="B1135">
        <v>2024</v>
      </c>
      <c r="C1135" t="s">
        <v>35</v>
      </c>
      <c r="D1135">
        <v>11</v>
      </c>
      <c r="E1135" t="s">
        <v>11</v>
      </c>
      <c r="F1135" t="s">
        <v>16</v>
      </c>
      <c r="G1135" s="3">
        <v>523</v>
      </c>
      <c r="H1135" s="3">
        <v>49.35</v>
      </c>
      <c r="I1135" s="3">
        <v>25810.05</v>
      </c>
      <c r="J1135" s="3">
        <v>16.45</v>
      </c>
    </row>
    <row r="1136" spans="1:10" x14ac:dyDescent="0.25">
      <c r="A1136" s="2">
        <v>45617</v>
      </c>
      <c r="B1136">
        <v>2024</v>
      </c>
      <c r="C1136" t="s">
        <v>35</v>
      </c>
      <c r="D1136">
        <v>11</v>
      </c>
      <c r="E1136" t="s">
        <v>11</v>
      </c>
      <c r="F1136" t="s">
        <v>17</v>
      </c>
      <c r="G1136" s="3">
        <v>177</v>
      </c>
      <c r="H1136" s="3">
        <v>183.18</v>
      </c>
      <c r="I1136" s="3">
        <v>32422.86</v>
      </c>
      <c r="J1136" s="3">
        <v>-14.36</v>
      </c>
    </row>
    <row r="1137" spans="1:10" x14ac:dyDescent="0.25">
      <c r="A1137" s="2">
        <v>45617</v>
      </c>
      <c r="B1137">
        <v>2024</v>
      </c>
      <c r="C1137" t="s">
        <v>35</v>
      </c>
      <c r="D1137">
        <v>11</v>
      </c>
      <c r="E1137" t="s">
        <v>11</v>
      </c>
      <c r="F1137" t="s">
        <v>18</v>
      </c>
      <c r="G1137" s="3">
        <v>92</v>
      </c>
      <c r="H1137" s="3">
        <v>171.02</v>
      </c>
      <c r="I1137" s="3">
        <v>15733.84</v>
      </c>
      <c r="J1137" s="3">
        <v>-14.54</v>
      </c>
    </row>
    <row r="1138" spans="1:10" x14ac:dyDescent="0.25">
      <c r="A1138" s="2">
        <v>45617</v>
      </c>
      <c r="B1138">
        <v>2024</v>
      </c>
      <c r="C1138" t="s">
        <v>35</v>
      </c>
      <c r="D1138">
        <v>11</v>
      </c>
      <c r="E1138" t="s">
        <v>11</v>
      </c>
      <c r="F1138" t="s">
        <v>19</v>
      </c>
      <c r="G1138" s="3">
        <v>319</v>
      </c>
      <c r="H1138" s="3">
        <v>171.79</v>
      </c>
      <c r="I1138" s="3">
        <v>54801.01</v>
      </c>
      <c r="J1138" s="3">
        <v>-11.1</v>
      </c>
    </row>
    <row r="1139" spans="1:10" x14ac:dyDescent="0.25">
      <c r="A1139" s="2">
        <v>45617</v>
      </c>
      <c r="B1139">
        <v>2024</v>
      </c>
      <c r="C1139" t="s">
        <v>35</v>
      </c>
      <c r="D1139">
        <v>11</v>
      </c>
      <c r="E1139" t="s">
        <v>11</v>
      </c>
      <c r="F1139" t="s">
        <v>20</v>
      </c>
      <c r="G1139" s="3">
        <v>777</v>
      </c>
      <c r="H1139" s="3">
        <v>146.88</v>
      </c>
      <c r="I1139" s="3">
        <v>114125.75999999999</v>
      </c>
      <c r="J1139" s="3">
        <v>17.690000000000001</v>
      </c>
    </row>
    <row r="1140" spans="1:10" x14ac:dyDescent="0.25">
      <c r="A1140" s="2">
        <v>45617</v>
      </c>
      <c r="B1140">
        <v>2024</v>
      </c>
      <c r="C1140" t="s">
        <v>35</v>
      </c>
      <c r="D1140">
        <v>11</v>
      </c>
      <c r="E1140" t="s">
        <v>11</v>
      </c>
      <c r="F1140" t="s">
        <v>21</v>
      </c>
      <c r="G1140" s="3">
        <v>217</v>
      </c>
      <c r="H1140" s="3">
        <v>29.3</v>
      </c>
      <c r="I1140" s="3">
        <v>6358.1</v>
      </c>
      <c r="J1140" s="3">
        <v>5.19</v>
      </c>
    </row>
    <row r="1141" spans="1:10" x14ac:dyDescent="0.25">
      <c r="A1141" s="2">
        <v>45617</v>
      </c>
      <c r="B1141">
        <v>2024</v>
      </c>
      <c r="C1141" t="s">
        <v>35</v>
      </c>
      <c r="D1141">
        <v>11</v>
      </c>
      <c r="E1141" t="s">
        <v>11</v>
      </c>
      <c r="F1141" t="s">
        <v>22</v>
      </c>
      <c r="G1141" s="3">
        <v>332</v>
      </c>
      <c r="H1141" s="3">
        <v>106.81</v>
      </c>
      <c r="I1141" s="3">
        <v>35460.92</v>
      </c>
      <c r="J1141" s="3">
        <v>-10.26</v>
      </c>
    </row>
    <row r="1142" spans="1:10" x14ac:dyDescent="0.25">
      <c r="A1142" s="2">
        <v>45617</v>
      </c>
      <c r="B1142">
        <v>2024</v>
      </c>
      <c r="C1142" t="s">
        <v>35</v>
      </c>
      <c r="D1142">
        <v>11</v>
      </c>
      <c r="E1142" t="s">
        <v>26</v>
      </c>
      <c r="F1142" t="s">
        <v>25</v>
      </c>
      <c r="G1142" s="3">
        <v>775</v>
      </c>
      <c r="H1142" s="3">
        <v>79.84</v>
      </c>
      <c r="I1142" s="3">
        <v>61876</v>
      </c>
      <c r="J1142" s="3">
        <v>-12.74</v>
      </c>
    </row>
    <row r="1143" spans="1:10" x14ac:dyDescent="0.25">
      <c r="A1143" s="2">
        <v>45617</v>
      </c>
      <c r="B1143">
        <v>2024</v>
      </c>
      <c r="C1143" t="s">
        <v>35</v>
      </c>
      <c r="D1143">
        <v>11</v>
      </c>
      <c r="E1143" t="s">
        <v>26</v>
      </c>
      <c r="F1143" t="s">
        <v>12</v>
      </c>
      <c r="G1143" s="3">
        <v>765</v>
      </c>
      <c r="H1143" s="3">
        <v>60.81</v>
      </c>
      <c r="I1143" s="3">
        <v>46519.65</v>
      </c>
      <c r="J1143" s="3">
        <v>20.170000000000002</v>
      </c>
    </row>
    <row r="1144" spans="1:10" x14ac:dyDescent="0.25">
      <c r="A1144" s="2">
        <v>45617</v>
      </c>
      <c r="B1144">
        <v>2024</v>
      </c>
      <c r="C1144" t="s">
        <v>35</v>
      </c>
      <c r="D1144">
        <v>11</v>
      </c>
      <c r="E1144" t="s">
        <v>26</v>
      </c>
      <c r="F1144" t="s">
        <v>24</v>
      </c>
      <c r="G1144" s="3">
        <v>138</v>
      </c>
      <c r="H1144" s="3">
        <v>48.31</v>
      </c>
      <c r="I1144" s="3">
        <v>6666.78</v>
      </c>
      <c r="J1144" s="3">
        <v>-2.61</v>
      </c>
    </row>
    <row r="1145" spans="1:10" x14ac:dyDescent="0.25">
      <c r="A1145" s="2">
        <v>45617</v>
      </c>
      <c r="B1145">
        <v>2024</v>
      </c>
      <c r="C1145" t="s">
        <v>35</v>
      </c>
      <c r="D1145">
        <v>11</v>
      </c>
      <c r="E1145" t="s">
        <v>26</v>
      </c>
      <c r="F1145" t="s">
        <v>14</v>
      </c>
      <c r="G1145" s="3">
        <v>200</v>
      </c>
      <c r="H1145" s="3">
        <v>76.98</v>
      </c>
      <c r="I1145" s="3">
        <v>15396</v>
      </c>
      <c r="J1145" s="3">
        <v>17.66</v>
      </c>
    </row>
    <row r="1146" spans="1:10" x14ac:dyDescent="0.25">
      <c r="A1146" s="2">
        <v>45617</v>
      </c>
      <c r="B1146">
        <v>2024</v>
      </c>
      <c r="C1146" t="s">
        <v>35</v>
      </c>
      <c r="D1146">
        <v>11</v>
      </c>
      <c r="E1146" t="s">
        <v>26</v>
      </c>
      <c r="F1146" t="s">
        <v>15</v>
      </c>
      <c r="G1146" s="3">
        <v>362</v>
      </c>
      <c r="H1146" s="3">
        <v>163.4</v>
      </c>
      <c r="I1146" s="3">
        <v>59150.8</v>
      </c>
      <c r="J1146" s="3">
        <v>-4.9800000000000004</v>
      </c>
    </row>
    <row r="1147" spans="1:10" x14ac:dyDescent="0.25">
      <c r="A1147" s="2">
        <v>45617</v>
      </c>
      <c r="B1147">
        <v>2024</v>
      </c>
      <c r="C1147" t="s">
        <v>35</v>
      </c>
      <c r="D1147">
        <v>11</v>
      </c>
      <c r="E1147" t="s">
        <v>26</v>
      </c>
      <c r="F1147" t="s">
        <v>16</v>
      </c>
      <c r="G1147" s="3">
        <v>424</v>
      </c>
      <c r="H1147" s="3">
        <v>122.91</v>
      </c>
      <c r="I1147" s="3">
        <v>52113.84</v>
      </c>
      <c r="J1147" s="3">
        <v>18.309999999999999</v>
      </c>
    </row>
    <row r="1148" spans="1:10" x14ac:dyDescent="0.25">
      <c r="A1148" s="2">
        <v>45617</v>
      </c>
      <c r="B1148">
        <v>2024</v>
      </c>
      <c r="C1148" t="s">
        <v>35</v>
      </c>
      <c r="D1148">
        <v>11</v>
      </c>
      <c r="E1148" t="s">
        <v>26</v>
      </c>
      <c r="F1148" t="s">
        <v>17</v>
      </c>
      <c r="G1148" s="3">
        <v>644</v>
      </c>
      <c r="H1148" s="3">
        <v>133.04</v>
      </c>
      <c r="I1148" s="3">
        <v>85677.759999999995</v>
      </c>
      <c r="J1148" s="3">
        <v>-5.0999999999999996</v>
      </c>
    </row>
    <row r="1149" spans="1:10" x14ac:dyDescent="0.25">
      <c r="A1149" s="2">
        <v>45617</v>
      </c>
      <c r="B1149">
        <v>2024</v>
      </c>
      <c r="C1149" t="s">
        <v>35</v>
      </c>
      <c r="D1149">
        <v>11</v>
      </c>
      <c r="E1149" t="s">
        <v>26</v>
      </c>
      <c r="F1149" t="s">
        <v>18</v>
      </c>
      <c r="G1149" s="3">
        <v>173</v>
      </c>
      <c r="H1149" s="3">
        <v>53.64</v>
      </c>
      <c r="I1149" s="3">
        <v>9279.7199999999993</v>
      </c>
      <c r="J1149" s="3">
        <v>-14.21</v>
      </c>
    </row>
    <row r="1150" spans="1:10" x14ac:dyDescent="0.25">
      <c r="A1150" s="2">
        <v>45617</v>
      </c>
      <c r="B1150">
        <v>2024</v>
      </c>
      <c r="C1150" t="s">
        <v>35</v>
      </c>
      <c r="D1150">
        <v>11</v>
      </c>
      <c r="E1150" t="s">
        <v>26</v>
      </c>
      <c r="F1150" t="s">
        <v>19</v>
      </c>
      <c r="G1150" s="3">
        <v>614</v>
      </c>
      <c r="H1150" s="3">
        <v>75.22</v>
      </c>
      <c r="I1150" s="3">
        <v>46185.08</v>
      </c>
      <c r="J1150" s="3">
        <v>-0.88</v>
      </c>
    </row>
    <row r="1151" spans="1:10" x14ac:dyDescent="0.25">
      <c r="A1151" s="2">
        <v>45617</v>
      </c>
      <c r="B1151">
        <v>2024</v>
      </c>
      <c r="C1151" t="s">
        <v>35</v>
      </c>
      <c r="D1151">
        <v>11</v>
      </c>
      <c r="E1151" t="s">
        <v>26</v>
      </c>
      <c r="F1151" t="s">
        <v>20</v>
      </c>
      <c r="G1151" s="3">
        <v>450</v>
      </c>
      <c r="H1151" s="3">
        <v>188.3</v>
      </c>
      <c r="I1151" s="3">
        <v>84735</v>
      </c>
      <c r="J1151" s="3">
        <v>2.2200000000000002</v>
      </c>
    </row>
    <row r="1152" spans="1:10" x14ac:dyDescent="0.25">
      <c r="A1152" s="2">
        <v>45617</v>
      </c>
      <c r="B1152">
        <v>2024</v>
      </c>
      <c r="C1152" t="s">
        <v>35</v>
      </c>
      <c r="D1152">
        <v>11</v>
      </c>
      <c r="E1152" t="s">
        <v>26</v>
      </c>
      <c r="F1152" t="s">
        <v>21</v>
      </c>
      <c r="G1152" s="3">
        <v>118</v>
      </c>
      <c r="H1152" s="3">
        <v>32.299999999999997</v>
      </c>
      <c r="I1152" s="3">
        <v>3811.4</v>
      </c>
      <c r="J1152" s="3">
        <v>16.350000000000001</v>
      </c>
    </row>
    <row r="1153" spans="1:10" x14ac:dyDescent="0.25">
      <c r="A1153" s="2">
        <v>45617</v>
      </c>
      <c r="B1153">
        <v>2024</v>
      </c>
      <c r="C1153" t="s">
        <v>35</v>
      </c>
      <c r="D1153">
        <v>11</v>
      </c>
      <c r="E1153" t="s">
        <v>11</v>
      </c>
      <c r="F1153" t="s">
        <v>25</v>
      </c>
      <c r="G1153" s="3">
        <v>289</v>
      </c>
      <c r="H1153" s="3">
        <v>164</v>
      </c>
      <c r="I1153" s="3">
        <v>47396</v>
      </c>
      <c r="J1153" s="3">
        <v>7.11</v>
      </c>
    </row>
    <row r="1154" spans="1:10" x14ac:dyDescent="0.25">
      <c r="A1154" s="2">
        <v>45647</v>
      </c>
      <c r="B1154">
        <v>2024</v>
      </c>
      <c r="C1154" t="s">
        <v>36</v>
      </c>
      <c r="D1154">
        <v>12</v>
      </c>
      <c r="E1154" t="s">
        <v>13</v>
      </c>
      <c r="F1154" t="s">
        <v>21</v>
      </c>
      <c r="G1154" s="3">
        <v>645</v>
      </c>
      <c r="H1154" s="3">
        <v>100.32</v>
      </c>
      <c r="I1154" s="3">
        <v>64706.400000000001</v>
      </c>
      <c r="J1154" s="3">
        <v>17.23</v>
      </c>
    </row>
    <row r="1155" spans="1:10" x14ac:dyDescent="0.25">
      <c r="A1155" s="2">
        <v>45647</v>
      </c>
      <c r="B1155">
        <v>2024</v>
      </c>
      <c r="C1155" t="s">
        <v>36</v>
      </c>
      <c r="D1155">
        <v>12</v>
      </c>
      <c r="E1155" t="s">
        <v>13</v>
      </c>
      <c r="F1155" t="s">
        <v>20</v>
      </c>
      <c r="G1155" s="3">
        <v>291</v>
      </c>
      <c r="H1155" s="3">
        <v>178.7</v>
      </c>
      <c r="I1155" s="3">
        <v>52001.7</v>
      </c>
      <c r="J1155" s="3">
        <v>17.57</v>
      </c>
    </row>
    <row r="1156" spans="1:10" x14ac:dyDescent="0.25">
      <c r="A1156" s="2">
        <v>45647</v>
      </c>
      <c r="B1156">
        <v>2024</v>
      </c>
      <c r="C1156" t="s">
        <v>36</v>
      </c>
      <c r="D1156">
        <v>12</v>
      </c>
      <c r="E1156" t="s">
        <v>13</v>
      </c>
      <c r="F1156" t="s">
        <v>19</v>
      </c>
      <c r="G1156" s="3">
        <v>694</v>
      </c>
      <c r="H1156" s="3">
        <v>161.57</v>
      </c>
      <c r="I1156" s="3">
        <v>112129.58</v>
      </c>
      <c r="J1156" s="3">
        <v>22.7</v>
      </c>
    </row>
    <row r="1157" spans="1:10" x14ac:dyDescent="0.25">
      <c r="A1157" s="2">
        <v>45647</v>
      </c>
      <c r="B1157">
        <v>2024</v>
      </c>
      <c r="C1157" t="s">
        <v>36</v>
      </c>
      <c r="D1157">
        <v>12</v>
      </c>
      <c r="E1157" t="s">
        <v>13</v>
      </c>
      <c r="F1157" t="s">
        <v>14</v>
      </c>
      <c r="G1157" s="3">
        <v>112</v>
      </c>
      <c r="H1157" s="3">
        <v>72.63</v>
      </c>
      <c r="I1157" s="3">
        <v>8134.56</v>
      </c>
      <c r="J1157" s="3">
        <v>2.76</v>
      </c>
    </row>
    <row r="1158" spans="1:10" x14ac:dyDescent="0.25">
      <c r="A1158" s="2">
        <v>45647</v>
      </c>
      <c r="B1158">
        <v>2024</v>
      </c>
      <c r="C1158" t="s">
        <v>36</v>
      </c>
      <c r="D1158">
        <v>12</v>
      </c>
      <c r="E1158" t="s">
        <v>13</v>
      </c>
      <c r="F1158" t="s">
        <v>17</v>
      </c>
      <c r="G1158" s="3">
        <v>256</v>
      </c>
      <c r="H1158" s="3">
        <v>70.59</v>
      </c>
      <c r="I1158" s="3">
        <v>18071.04</v>
      </c>
      <c r="J1158" s="3">
        <v>13.52</v>
      </c>
    </row>
    <row r="1159" spans="1:10" x14ac:dyDescent="0.25">
      <c r="A1159" s="2">
        <v>45647</v>
      </c>
      <c r="B1159">
        <v>2024</v>
      </c>
      <c r="C1159" t="s">
        <v>36</v>
      </c>
      <c r="D1159">
        <v>12</v>
      </c>
      <c r="E1159" t="s">
        <v>13</v>
      </c>
      <c r="F1159" t="s">
        <v>16</v>
      </c>
      <c r="G1159" s="3">
        <v>184</v>
      </c>
      <c r="H1159" s="3">
        <v>30.11</v>
      </c>
      <c r="I1159" s="3">
        <v>5540.24</v>
      </c>
      <c r="J1159" s="3">
        <v>4.6399999999999997</v>
      </c>
    </row>
    <row r="1160" spans="1:10" x14ac:dyDescent="0.25">
      <c r="A1160" s="2">
        <v>45647</v>
      </c>
      <c r="B1160">
        <v>2024</v>
      </c>
      <c r="C1160" t="s">
        <v>36</v>
      </c>
      <c r="D1160">
        <v>12</v>
      </c>
      <c r="E1160" t="s">
        <v>13</v>
      </c>
      <c r="F1160" t="s">
        <v>15</v>
      </c>
      <c r="G1160" s="3">
        <v>234</v>
      </c>
      <c r="H1160" s="3">
        <v>56.2</v>
      </c>
      <c r="I1160" s="3">
        <v>13150.8</v>
      </c>
      <c r="J1160" s="3">
        <v>8.61</v>
      </c>
    </row>
    <row r="1161" spans="1:10" x14ac:dyDescent="0.25">
      <c r="A1161" s="2">
        <v>45647</v>
      </c>
      <c r="B1161">
        <v>2024</v>
      </c>
      <c r="C1161" t="s">
        <v>36</v>
      </c>
      <c r="D1161">
        <v>12</v>
      </c>
      <c r="E1161" t="s">
        <v>13</v>
      </c>
      <c r="F1161" t="s">
        <v>22</v>
      </c>
      <c r="G1161" s="3">
        <v>178</v>
      </c>
      <c r="H1161" s="3">
        <v>75.77</v>
      </c>
      <c r="I1161" s="3">
        <v>13487.06</v>
      </c>
      <c r="J1161" s="3">
        <v>-5</v>
      </c>
    </row>
    <row r="1162" spans="1:10" x14ac:dyDescent="0.25">
      <c r="A1162" s="2">
        <v>45647</v>
      </c>
      <c r="B1162">
        <v>2024</v>
      </c>
      <c r="C1162" t="s">
        <v>36</v>
      </c>
      <c r="D1162">
        <v>12</v>
      </c>
      <c r="E1162" t="s">
        <v>13</v>
      </c>
      <c r="F1162" t="s">
        <v>18</v>
      </c>
      <c r="G1162" s="3">
        <v>170</v>
      </c>
      <c r="H1162" s="3">
        <v>66.84</v>
      </c>
      <c r="I1162" s="3">
        <v>11362.8</v>
      </c>
      <c r="J1162" s="3">
        <v>-8.6199999999999992</v>
      </c>
    </row>
    <row r="1163" spans="1:10" x14ac:dyDescent="0.25">
      <c r="A1163" s="2">
        <v>45647</v>
      </c>
      <c r="B1163">
        <v>2024</v>
      </c>
      <c r="C1163" t="s">
        <v>36</v>
      </c>
      <c r="D1163">
        <v>12</v>
      </c>
      <c r="E1163" t="s">
        <v>13</v>
      </c>
      <c r="F1163" t="s">
        <v>25</v>
      </c>
      <c r="G1163" s="3">
        <v>361</v>
      </c>
      <c r="H1163" s="3">
        <v>119.61</v>
      </c>
      <c r="I1163" s="3">
        <v>43179.21</v>
      </c>
      <c r="J1163" s="3">
        <v>-4.8</v>
      </c>
    </row>
    <row r="1164" spans="1:10" x14ac:dyDescent="0.25">
      <c r="A1164" s="2">
        <v>45647</v>
      </c>
      <c r="B1164">
        <v>2024</v>
      </c>
      <c r="C1164" t="s">
        <v>36</v>
      </c>
      <c r="D1164">
        <v>12</v>
      </c>
      <c r="E1164" t="s">
        <v>23</v>
      </c>
      <c r="F1164" t="s">
        <v>17</v>
      </c>
      <c r="G1164" s="3">
        <v>55</v>
      </c>
      <c r="H1164" s="3">
        <v>119.61</v>
      </c>
      <c r="I1164" s="3">
        <v>6578.55</v>
      </c>
      <c r="J1164" s="3">
        <v>5.13</v>
      </c>
    </row>
    <row r="1165" spans="1:10" x14ac:dyDescent="0.25">
      <c r="A1165" s="2">
        <v>45647</v>
      </c>
      <c r="B1165">
        <v>2024</v>
      </c>
      <c r="C1165" t="s">
        <v>36</v>
      </c>
      <c r="D1165">
        <v>12</v>
      </c>
      <c r="E1165" t="s">
        <v>23</v>
      </c>
      <c r="F1165" t="s">
        <v>24</v>
      </c>
      <c r="G1165" s="3">
        <v>202</v>
      </c>
      <c r="H1165" s="3">
        <v>169.06</v>
      </c>
      <c r="I1165" s="3">
        <v>34150.120000000003</v>
      </c>
      <c r="J1165" s="3">
        <v>-6.36</v>
      </c>
    </row>
    <row r="1166" spans="1:10" x14ac:dyDescent="0.25">
      <c r="A1166" s="2">
        <v>45647</v>
      </c>
      <c r="B1166">
        <v>2024</v>
      </c>
      <c r="C1166" t="s">
        <v>36</v>
      </c>
      <c r="D1166">
        <v>12</v>
      </c>
      <c r="E1166" t="s">
        <v>23</v>
      </c>
      <c r="F1166" t="s">
        <v>14</v>
      </c>
      <c r="G1166" s="3">
        <v>616</v>
      </c>
      <c r="H1166" s="3">
        <v>191.51</v>
      </c>
      <c r="I1166" s="3">
        <v>117970.16</v>
      </c>
      <c r="J1166" s="3">
        <v>-1.93</v>
      </c>
    </row>
    <row r="1167" spans="1:10" x14ac:dyDescent="0.25">
      <c r="A1167" s="2">
        <v>45647</v>
      </c>
      <c r="B1167">
        <v>2024</v>
      </c>
      <c r="C1167" t="s">
        <v>36</v>
      </c>
      <c r="D1167">
        <v>12</v>
      </c>
      <c r="E1167" t="s">
        <v>23</v>
      </c>
      <c r="F1167" t="s">
        <v>15</v>
      </c>
      <c r="G1167" s="3">
        <v>226</v>
      </c>
      <c r="H1167" s="3">
        <v>111.01</v>
      </c>
      <c r="I1167" s="3">
        <v>25088.26</v>
      </c>
      <c r="J1167" s="3">
        <v>22.64</v>
      </c>
    </row>
    <row r="1168" spans="1:10" x14ac:dyDescent="0.25">
      <c r="A1168" s="2">
        <v>45647</v>
      </c>
      <c r="B1168">
        <v>2024</v>
      </c>
      <c r="C1168" t="s">
        <v>36</v>
      </c>
      <c r="D1168">
        <v>12</v>
      </c>
      <c r="E1168" t="s">
        <v>23</v>
      </c>
      <c r="F1168" t="s">
        <v>16</v>
      </c>
      <c r="G1168" s="3">
        <v>146</v>
      </c>
      <c r="H1168" s="3">
        <v>77.349999999999994</v>
      </c>
      <c r="I1168" s="3">
        <v>11293.1</v>
      </c>
      <c r="J1168" s="3">
        <v>21.14</v>
      </c>
    </row>
    <row r="1169" spans="1:10" x14ac:dyDescent="0.25">
      <c r="A1169" s="2">
        <v>45647</v>
      </c>
      <c r="B1169">
        <v>2024</v>
      </c>
      <c r="C1169" t="s">
        <v>36</v>
      </c>
      <c r="D1169">
        <v>12</v>
      </c>
      <c r="E1169" t="s">
        <v>23</v>
      </c>
      <c r="F1169" t="s">
        <v>18</v>
      </c>
      <c r="G1169" s="3">
        <v>711</v>
      </c>
      <c r="H1169" s="3">
        <v>113.89</v>
      </c>
      <c r="I1169" s="3">
        <v>80975.789999999994</v>
      </c>
      <c r="J1169" s="3">
        <v>16.78</v>
      </c>
    </row>
    <row r="1170" spans="1:10" x14ac:dyDescent="0.25">
      <c r="A1170" s="2">
        <v>45647</v>
      </c>
      <c r="B1170">
        <v>2024</v>
      </c>
      <c r="C1170" t="s">
        <v>36</v>
      </c>
      <c r="D1170">
        <v>12</v>
      </c>
      <c r="E1170" t="s">
        <v>23</v>
      </c>
      <c r="F1170" t="s">
        <v>19</v>
      </c>
      <c r="G1170" s="3">
        <v>136</v>
      </c>
      <c r="H1170" s="3">
        <v>170.82</v>
      </c>
      <c r="I1170" s="3">
        <v>23231.52</v>
      </c>
      <c r="J1170" s="3">
        <v>19.350000000000001</v>
      </c>
    </row>
    <row r="1171" spans="1:10" x14ac:dyDescent="0.25">
      <c r="A1171" s="2">
        <v>45647</v>
      </c>
      <c r="B1171">
        <v>2024</v>
      </c>
      <c r="C1171" t="s">
        <v>36</v>
      </c>
      <c r="D1171">
        <v>12</v>
      </c>
      <c r="E1171" t="s">
        <v>23</v>
      </c>
      <c r="F1171" t="s">
        <v>20</v>
      </c>
      <c r="G1171" s="3">
        <v>463</v>
      </c>
      <c r="H1171" s="3">
        <v>99.06</v>
      </c>
      <c r="I1171" s="3">
        <v>45864.78</v>
      </c>
      <c r="J1171" s="3">
        <v>9.42</v>
      </c>
    </row>
    <row r="1172" spans="1:10" x14ac:dyDescent="0.25">
      <c r="A1172" s="2">
        <v>45647</v>
      </c>
      <c r="B1172">
        <v>2024</v>
      </c>
      <c r="C1172" t="s">
        <v>36</v>
      </c>
      <c r="D1172">
        <v>12</v>
      </c>
      <c r="E1172" t="s">
        <v>23</v>
      </c>
      <c r="F1172" t="s">
        <v>21</v>
      </c>
      <c r="G1172" s="3">
        <v>334</v>
      </c>
      <c r="H1172" s="3">
        <v>102.65</v>
      </c>
      <c r="I1172" s="3">
        <v>34285.1</v>
      </c>
      <c r="J1172" s="3">
        <v>1.44</v>
      </c>
    </row>
    <row r="1173" spans="1:10" x14ac:dyDescent="0.25">
      <c r="A1173" s="2">
        <v>45647</v>
      </c>
      <c r="B1173">
        <v>2024</v>
      </c>
      <c r="C1173" t="s">
        <v>36</v>
      </c>
      <c r="D1173">
        <v>12</v>
      </c>
      <c r="E1173" t="s">
        <v>23</v>
      </c>
      <c r="F1173" t="s">
        <v>22</v>
      </c>
      <c r="G1173" s="3">
        <v>721</v>
      </c>
      <c r="H1173" s="3">
        <v>144.91</v>
      </c>
      <c r="I1173" s="3">
        <v>104480.11</v>
      </c>
      <c r="J1173" s="3">
        <v>-5.82</v>
      </c>
    </row>
    <row r="1174" spans="1:10" x14ac:dyDescent="0.25">
      <c r="A1174" s="2">
        <v>45647</v>
      </c>
      <c r="B1174">
        <v>2024</v>
      </c>
      <c r="C1174" t="s">
        <v>36</v>
      </c>
      <c r="D1174">
        <v>12</v>
      </c>
      <c r="E1174" t="s">
        <v>13</v>
      </c>
      <c r="F1174" t="s">
        <v>24</v>
      </c>
      <c r="G1174" s="3">
        <v>598</v>
      </c>
      <c r="H1174" s="3">
        <v>161.12</v>
      </c>
      <c r="I1174" s="3">
        <v>96349.759999999995</v>
      </c>
      <c r="J1174" s="3">
        <v>1.78</v>
      </c>
    </row>
    <row r="1175" spans="1:10" x14ac:dyDescent="0.25">
      <c r="A1175" s="2">
        <v>45647</v>
      </c>
      <c r="B1175">
        <v>2024</v>
      </c>
      <c r="C1175" t="s">
        <v>36</v>
      </c>
      <c r="D1175">
        <v>12</v>
      </c>
      <c r="E1175" t="s">
        <v>23</v>
      </c>
      <c r="F1175" t="s">
        <v>12</v>
      </c>
      <c r="G1175" s="3">
        <v>110</v>
      </c>
      <c r="H1175" s="3">
        <v>83.68</v>
      </c>
      <c r="I1175" s="3">
        <v>9204.7999999999993</v>
      </c>
      <c r="J1175" s="3">
        <v>18.14</v>
      </c>
    </row>
    <row r="1176" spans="1:10" x14ac:dyDescent="0.25">
      <c r="A1176" s="2">
        <v>45647</v>
      </c>
      <c r="B1176">
        <v>2024</v>
      </c>
      <c r="C1176" t="s">
        <v>36</v>
      </c>
      <c r="D1176">
        <v>12</v>
      </c>
      <c r="E1176" t="s">
        <v>13</v>
      </c>
      <c r="F1176" t="s">
        <v>12</v>
      </c>
      <c r="G1176" s="3">
        <v>729</v>
      </c>
      <c r="H1176" s="3">
        <v>99.66</v>
      </c>
      <c r="I1176" s="3">
        <v>72652.14</v>
      </c>
      <c r="J1176" s="3">
        <v>10.97</v>
      </c>
    </row>
    <row r="1177" spans="1:10" x14ac:dyDescent="0.25">
      <c r="A1177" s="2">
        <v>45647</v>
      </c>
      <c r="B1177">
        <v>2024</v>
      </c>
      <c r="C1177" t="s">
        <v>36</v>
      </c>
      <c r="D1177">
        <v>12</v>
      </c>
      <c r="E1177" t="s">
        <v>23</v>
      </c>
      <c r="F1177" t="s">
        <v>25</v>
      </c>
      <c r="G1177" s="3">
        <v>94</v>
      </c>
      <c r="H1177" s="3">
        <v>49.75</v>
      </c>
      <c r="I1177" s="3">
        <v>4676.5</v>
      </c>
      <c r="J1177" s="3">
        <v>-14.92</v>
      </c>
    </row>
    <row r="1178" spans="1:10" x14ac:dyDescent="0.25">
      <c r="A1178" s="2">
        <v>45647</v>
      </c>
      <c r="B1178">
        <v>2024</v>
      </c>
      <c r="C1178" t="s">
        <v>36</v>
      </c>
      <c r="D1178">
        <v>12</v>
      </c>
      <c r="E1178" t="s">
        <v>26</v>
      </c>
      <c r="F1178" t="s">
        <v>22</v>
      </c>
      <c r="G1178" s="3">
        <v>236</v>
      </c>
      <c r="H1178" s="3">
        <v>101.78</v>
      </c>
      <c r="I1178" s="3">
        <v>24020.080000000002</v>
      </c>
      <c r="J1178" s="3">
        <v>10.210000000000001</v>
      </c>
    </row>
    <row r="1179" spans="1:10" x14ac:dyDescent="0.25">
      <c r="A1179" s="2">
        <v>45647</v>
      </c>
      <c r="B1179">
        <v>2024</v>
      </c>
      <c r="C1179" t="s">
        <v>36</v>
      </c>
      <c r="D1179">
        <v>12</v>
      </c>
      <c r="E1179" t="s">
        <v>11</v>
      </c>
      <c r="F1179" t="s">
        <v>12</v>
      </c>
      <c r="G1179" s="3">
        <v>498</v>
      </c>
      <c r="H1179" s="3">
        <v>22.77</v>
      </c>
      <c r="I1179" s="3">
        <v>11339.46</v>
      </c>
      <c r="J1179" s="3">
        <v>8.32</v>
      </c>
    </row>
    <row r="1180" spans="1:10" x14ac:dyDescent="0.25">
      <c r="A1180" s="2">
        <v>45647</v>
      </c>
      <c r="B1180">
        <v>2024</v>
      </c>
      <c r="C1180" t="s">
        <v>36</v>
      </c>
      <c r="D1180">
        <v>12</v>
      </c>
      <c r="E1180" t="s">
        <v>11</v>
      </c>
      <c r="F1180" t="s">
        <v>24</v>
      </c>
      <c r="G1180" s="3">
        <v>186</v>
      </c>
      <c r="H1180" s="3">
        <v>101.05</v>
      </c>
      <c r="I1180" s="3">
        <v>18795.3</v>
      </c>
      <c r="J1180" s="3">
        <v>23.3</v>
      </c>
    </row>
    <row r="1181" spans="1:10" x14ac:dyDescent="0.25">
      <c r="A1181" s="2">
        <v>45647</v>
      </c>
      <c r="B1181">
        <v>2024</v>
      </c>
      <c r="C1181" t="s">
        <v>36</v>
      </c>
      <c r="D1181">
        <v>12</v>
      </c>
      <c r="E1181" t="s">
        <v>11</v>
      </c>
      <c r="F1181" t="s">
        <v>14</v>
      </c>
      <c r="G1181" s="3">
        <v>469</v>
      </c>
      <c r="H1181" s="3">
        <v>150.63</v>
      </c>
      <c r="I1181" s="3">
        <v>70645.47</v>
      </c>
      <c r="J1181" s="3">
        <v>9.69</v>
      </c>
    </row>
    <row r="1182" spans="1:10" x14ac:dyDescent="0.25">
      <c r="A1182" s="2">
        <v>45647</v>
      </c>
      <c r="B1182">
        <v>2024</v>
      </c>
      <c r="C1182" t="s">
        <v>36</v>
      </c>
      <c r="D1182">
        <v>12</v>
      </c>
      <c r="E1182" t="s">
        <v>11</v>
      </c>
      <c r="F1182" t="s">
        <v>15</v>
      </c>
      <c r="G1182" s="3">
        <v>311</v>
      </c>
      <c r="H1182" s="3">
        <v>195.86</v>
      </c>
      <c r="I1182" s="3">
        <v>60912.46</v>
      </c>
      <c r="J1182" s="3">
        <v>-10.92</v>
      </c>
    </row>
    <row r="1183" spans="1:10" x14ac:dyDescent="0.25">
      <c r="A1183" s="2">
        <v>45647</v>
      </c>
      <c r="B1183">
        <v>2024</v>
      </c>
      <c r="C1183" t="s">
        <v>36</v>
      </c>
      <c r="D1183">
        <v>12</v>
      </c>
      <c r="E1183" t="s">
        <v>11</v>
      </c>
      <c r="F1183" t="s">
        <v>16</v>
      </c>
      <c r="G1183" s="3">
        <v>419</v>
      </c>
      <c r="H1183" s="3">
        <v>153.71</v>
      </c>
      <c r="I1183" s="3">
        <v>64404.49</v>
      </c>
      <c r="J1183" s="3">
        <v>-1.92</v>
      </c>
    </row>
    <row r="1184" spans="1:10" x14ac:dyDescent="0.25">
      <c r="A1184" s="2">
        <v>45647</v>
      </c>
      <c r="B1184">
        <v>2024</v>
      </c>
      <c r="C1184" t="s">
        <v>36</v>
      </c>
      <c r="D1184">
        <v>12</v>
      </c>
      <c r="E1184" t="s">
        <v>11</v>
      </c>
      <c r="F1184" t="s">
        <v>17</v>
      </c>
      <c r="G1184" s="3">
        <v>556</v>
      </c>
      <c r="H1184" s="3">
        <v>35.17</v>
      </c>
      <c r="I1184" s="3">
        <v>19554.52</v>
      </c>
      <c r="J1184" s="3">
        <v>17.29</v>
      </c>
    </row>
    <row r="1185" spans="1:10" x14ac:dyDescent="0.25">
      <c r="A1185" s="2">
        <v>45647</v>
      </c>
      <c r="B1185">
        <v>2024</v>
      </c>
      <c r="C1185" t="s">
        <v>36</v>
      </c>
      <c r="D1185">
        <v>12</v>
      </c>
      <c r="E1185" t="s">
        <v>11</v>
      </c>
      <c r="F1185" t="s">
        <v>18</v>
      </c>
      <c r="G1185" s="3">
        <v>416</v>
      </c>
      <c r="H1185" s="3">
        <v>66.569999999999993</v>
      </c>
      <c r="I1185" s="3">
        <v>27693.119999999999</v>
      </c>
      <c r="J1185" s="3">
        <v>2.38</v>
      </c>
    </row>
    <row r="1186" spans="1:10" x14ac:dyDescent="0.25">
      <c r="A1186" s="2">
        <v>45647</v>
      </c>
      <c r="B1186">
        <v>2024</v>
      </c>
      <c r="C1186" t="s">
        <v>36</v>
      </c>
      <c r="D1186">
        <v>12</v>
      </c>
      <c r="E1186" t="s">
        <v>11</v>
      </c>
      <c r="F1186" t="s">
        <v>19</v>
      </c>
      <c r="G1186" s="3">
        <v>122</v>
      </c>
      <c r="H1186" s="3">
        <v>98.91</v>
      </c>
      <c r="I1186" s="3">
        <v>12067.02</v>
      </c>
      <c r="J1186" s="3">
        <v>24.85</v>
      </c>
    </row>
    <row r="1187" spans="1:10" x14ac:dyDescent="0.25">
      <c r="A1187" s="2">
        <v>45647</v>
      </c>
      <c r="B1187">
        <v>2024</v>
      </c>
      <c r="C1187" t="s">
        <v>36</v>
      </c>
      <c r="D1187">
        <v>12</v>
      </c>
      <c r="E1187" t="s">
        <v>11</v>
      </c>
      <c r="F1187" t="s">
        <v>20</v>
      </c>
      <c r="G1187" s="3">
        <v>92</v>
      </c>
      <c r="H1187" s="3">
        <v>134.78</v>
      </c>
      <c r="I1187" s="3">
        <v>12399.76</v>
      </c>
      <c r="J1187" s="3">
        <v>-5.32</v>
      </c>
    </row>
    <row r="1188" spans="1:10" x14ac:dyDescent="0.25">
      <c r="A1188" s="2">
        <v>45647</v>
      </c>
      <c r="B1188">
        <v>2024</v>
      </c>
      <c r="C1188" t="s">
        <v>36</v>
      </c>
      <c r="D1188">
        <v>12</v>
      </c>
      <c r="E1188" t="s">
        <v>11</v>
      </c>
      <c r="F1188" t="s">
        <v>21</v>
      </c>
      <c r="G1188" s="3">
        <v>261</v>
      </c>
      <c r="H1188" s="3">
        <v>56.72</v>
      </c>
      <c r="I1188" s="3">
        <v>14803.92</v>
      </c>
      <c r="J1188" s="3">
        <v>11.16</v>
      </c>
    </row>
    <row r="1189" spans="1:10" x14ac:dyDescent="0.25">
      <c r="A1189" s="2">
        <v>45647</v>
      </c>
      <c r="B1189">
        <v>2024</v>
      </c>
      <c r="C1189" t="s">
        <v>36</v>
      </c>
      <c r="D1189">
        <v>12</v>
      </c>
      <c r="E1189" t="s">
        <v>11</v>
      </c>
      <c r="F1189" t="s">
        <v>22</v>
      </c>
      <c r="G1189" s="3">
        <v>200</v>
      </c>
      <c r="H1189" s="3">
        <v>29</v>
      </c>
      <c r="I1189" s="3">
        <v>5800</v>
      </c>
      <c r="J1189" s="3">
        <v>21.46</v>
      </c>
    </row>
    <row r="1190" spans="1:10" x14ac:dyDescent="0.25">
      <c r="A1190" s="2">
        <v>45647</v>
      </c>
      <c r="B1190">
        <v>2024</v>
      </c>
      <c r="C1190" t="s">
        <v>36</v>
      </c>
      <c r="D1190">
        <v>12</v>
      </c>
      <c r="E1190" t="s">
        <v>26</v>
      </c>
      <c r="F1190" t="s">
        <v>25</v>
      </c>
      <c r="G1190" s="3">
        <v>412</v>
      </c>
      <c r="H1190" s="3">
        <v>134.83000000000001</v>
      </c>
      <c r="I1190" s="3">
        <v>55549.96</v>
      </c>
      <c r="J1190" s="3">
        <v>18.350000000000001</v>
      </c>
    </row>
    <row r="1191" spans="1:10" x14ac:dyDescent="0.25">
      <c r="A1191" s="2">
        <v>45647</v>
      </c>
      <c r="B1191">
        <v>2024</v>
      </c>
      <c r="C1191" t="s">
        <v>36</v>
      </c>
      <c r="D1191">
        <v>12</v>
      </c>
      <c r="E1191" t="s">
        <v>26</v>
      </c>
      <c r="F1191" t="s">
        <v>12</v>
      </c>
      <c r="G1191" s="3">
        <v>348</v>
      </c>
      <c r="H1191" s="3">
        <v>64.56</v>
      </c>
      <c r="I1191" s="3">
        <v>22466.880000000001</v>
      </c>
      <c r="J1191" s="3">
        <v>-12.5</v>
      </c>
    </row>
    <row r="1192" spans="1:10" x14ac:dyDescent="0.25">
      <c r="A1192" s="2">
        <v>45647</v>
      </c>
      <c r="B1192">
        <v>2024</v>
      </c>
      <c r="C1192" t="s">
        <v>36</v>
      </c>
      <c r="D1192">
        <v>12</v>
      </c>
      <c r="E1192" t="s">
        <v>26</v>
      </c>
      <c r="F1192" t="s">
        <v>24</v>
      </c>
      <c r="G1192" s="3">
        <v>110</v>
      </c>
      <c r="H1192" s="3">
        <v>96.46</v>
      </c>
      <c r="I1192" s="3">
        <v>10610.6</v>
      </c>
      <c r="J1192" s="3">
        <v>-6.39</v>
      </c>
    </row>
    <row r="1193" spans="1:10" x14ac:dyDescent="0.25">
      <c r="A1193" s="2">
        <v>45647</v>
      </c>
      <c r="B1193">
        <v>2024</v>
      </c>
      <c r="C1193" t="s">
        <v>36</v>
      </c>
      <c r="D1193">
        <v>12</v>
      </c>
      <c r="E1193" t="s">
        <v>26</v>
      </c>
      <c r="F1193" t="s">
        <v>14</v>
      </c>
      <c r="G1193" s="3">
        <v>210</v>
      </c>
      <c r="H1193" s="3">
        <v>141.12</v>
      </c>
      <c r="I1193" s="3">
        <v>29635.200000000001</v>
      </c>
      <c r="J1193" s="3">
        <v>-11.75</v>
      </c>
    </row>
    <row r="1194" spans="1:10" x14ac:dyDescent="0.25">
      <c r="A1194" s="2">
        <v>45647</v>
      </c>
      <c r="B1194">
        <v>2024</v>
      </c>
      <c r="C1194" t="s">
        <v>36</v>
      </c>
      <c r="D1194">
        <v>12</v>
      </c>
      <c r="E1194" t="s">
        <v>26</v>
      </c>
      <c r="F1194" t="s">
        <v>15</v>
      </c>
      <c r="G1194" s="3">
        <v>353</v>
      </c>
      <c r="H1194" s="3">
        <v>79.95</v>
      </c>
      <c r="I1194" s="3">
        <v>28222.35</v>
      </c>
      <c r="J1194" s="3">
        <v>20.399999999999999</v>
      </c>
    </row>
    <row r="1195" spans="1:10" x14ac:dyDescent="0.25">
      <c r="A1195" s="2">
        <v>45647</v>
      </c>
      <c r="B1195">
        <v>2024</v>
      </c>
      <c r="C1195" t="s">
        <v>36</v>
      </c>
      <c r="D1195">
        <v>12</v>
      </c>
      <c r="E1195" t="s">
        <v>26</v>
      </c>
      <c r="F1195" t="s">
        <v>16</v>
      </c>
      <c r="G1195" s="3">
        <v>688</v>
      </c>
      <c r="H1195" s="3">
        <v>168.14</v>
      </c>
      <c r="I1195" s="3">
        <v>115680.32000000001</v>
      </c>
      <c r="J1195" s="3">
        <v>22.31</v>
      </c>
    </row>
    <row r="1196" spans="1:10" x14ac:dyDescent="0.25">
      <c r="A1196" s="2">
        <v>45647</v>
      </c>
      <c r="B1196">
        <v>2024</v>
      </c>
      <c r="C1196" t="s">
        <v>36</v>
      </c>
      <c r="D1196">
        <v>12</v>
      </c>
      <c r="E1196" t="s">
        <v>26</v>
      </c>
      <c r="F1196" t="s">
        <v>17</v>
      </c>
      <c r="G1196" s="3">
        <v>638</v>
      </c>
      <c r="H1196" s="3">
        <v>161.62</v>
      </c>
      <c r="I1196" s="3">
        <v>103113.56</v>
      </c>
      <c r="J1196" s="3">
        <v>0.9</v>
      </c>
    </row>
    <row r="1197" spans="1:10" x14ac:dyDescent="0.25">
      <c r="A1197" s="2">
        <v>45647</v>
      </c>
      <c r="B1197">
        <v>2024</v>
      </c>
      <c r="C1197" t="s">
        <v>36</v>
      </c>
      <c r="D1197">
        <v>12</v>
      </c>
      <c r="E1197" t="s">
        <v>26</v>
      </c>
      <c r="F1197" t="s">
        <v>18</v>
      </c>
      <c r="G1197" s="3">
        <v>652</v>
      </c>
      <c r="H1197" s="3">
        <v>113.86</v>
      </c>
      <c r="I1197" s="3">
        <v>74236.72</v>
      </c>
      <c r="J1197" s="3">
        <v>-12.26</v>
      </c>
    </row>
    <row r="1198" spans="1:10" x14ac:dyDescent="0.25">
      <c r="A1198" s="2">
        <v>45647</v>
      </c>
      <c r="B1198">
        <v>2024</v>
      </c>
      <c r="C1198" t="s">
        <v>36</v>
      </c>
      <c r="D1198">
        <v>12</v>
      </c>
      <c r="E1198" t="s">
        <v>26</v>
      </c>
      <c r="F1198" t="s">
        <v>19</v>
      </c>
      <c r="G1198" s="3">
        <v>539</v>
      </c>
      <c r="H1198" s="3">
        <v>96.95</v>
      </c>
      <c r="I1198" s="3">
        <v>52256.05</v>
      </c>
      <c r="J1198" s="3">
        <v>-6.75</v>
      </c>
    </row>
    <row r="1199" spans="1:10" x14ac:dyDescent="0.25">
      <c r="A1199" s="2">
        <v>45647</v>
      </c>
      <c r="B1199">
        <v>2024</v>
      </c>
      <c r="C1199" t="s">
        <v>36</v>
      </c>
      <c r="D1199">
        <v>12</v>
      </c>
      <c r="E1199" t="s">
        <v>26</v>
      </c>
      <c r="F1199" t="s">
        <v>20</v>
      </c>
      <c r="G1199" s="3">
        <v>668</v>
      </c>
      <c r="H1199" s="3">
        <v>116.9</v>
      </c>
      <c r="I1199" s="3">
        <v>78089.2</v>
      </c>
      <c r="J1199" s="3">
        <v>-4.25</v>
      </c>
    </row>
    <row r="1200" spans="1:10" x14ac:dyDescent="0.25">
      <c r="A1200" s="2">
        <v>45647</v>
      </c>
      <c r="B1200">
        <v>2024</v>
      </c>
      <c r="C1200" t="s">
        <v>36</v>
      </c>
      <c r="D1200">
        <v>12</v>
      </c>
      <c r="E1200" t="s">
        <v>26</v>
      </c>
      <c r="F1200" t="s">
        <v>21</v>
      </c>
      <c r="G1200" s="3">
        <v>743</v>
      </c>
      <c r="H1200" s="3">
        <v>174.77</v>
      </c>
      <c r="I1200" s="3">
        <v>129854.11</v>
      </c>
      <c r="J1200" s="3">
        <v>-13.6</v>
      </c>
    </row>
    <row r="1201" spans="1:10" x14ac:dyDescent="0.25">
      <c r="A1201" s="2">
        <v>45647</v>
      </c>
      <c r="B1201">
        <v>2024</v>
      </c>
      <c r="C1201" t="s">
        <v>36</v>
      </c>
      <c r="D1201">
        <v>12</v>
      </c>
      <c r="E1201" t="s">
        <v>11</v>
      </c>
      <c r="F1201" t="s">
        <v>25</v>
      </c>
      <c r="G1201" s="3">
        <v>624</v>
      </c>
      <c r="H1201" s="3">
        <v>84.07</v>
      </c>
      <c r="I1201" s="3">
        <v>52459.68</v>
      </c>
      <c r="J1201" s="3">
        <v>-14.37</v>
      </c>
    </row>
    <row r="1202" spans="1:10" x14ac:dyDescent="0.25">
      <c r="A1202" s="2">
        <v>45677</v>
      </c>
      <c r="B1202">
        <v>2025</v>
      </c>
      <c r="C1202" t="s">
        <v>10</v>
      </c>
      <c r="D1202">
        <v>1</v>
      </c>
      <c r="E1202" t="s">
        <v>13</v>
      </c>
      <c r="F1202" t="s">
        <v>21</v>
      </c>
      <c r="G1202" s="3">
        <v>52</v>
      </c>
      <c r="H1202" s="3">
        <v>83.09</v>
      </c>
      <c r="I1202" s="3">
        <v>4320.68</v>
      </c>
      <c r="J1202" s="3">
        <v>-0.1</v>
      </c>
    </row>
    <row r="1203" spans="1:10" x14ac:dyDescent="0.25">
      <c r="A1203" s="2">
        <v>45677</v>
      </c>
      <c r="B1203">
        <v>2025</v>
      </c>
      <c r="C1203" t="s">
        <v>10</v>
      </c>
      <c r="D1203">
        <v>1</v>
      </c>
      <c r="E1203" t="s">
        <v>13</v>
      </c>
      <c r="F1203" t="s">
        <v>20</v>
      </c>
      <c r="G1203" s="3">
        <v>270</v>
      </c>
      <c r="H1203" s="3">
        <v>120.63</v>
      </c>
      <c r="I1203" s="3">
        <v>32570.1</v>
      </c>
      <c r="J1203" s="3">
        <v>-2.15</v>
      </c>
    </row>
    <row r="1204" spans="1:10" x14ac:dyDescent="0.25">
      <c r="A1204" s="2">
        <v>45677</v>
      </c>
      <c r="B1204">
        <v>2025</v>
      </c>
      <c r="C1204" t="s">
        <v>10</v>
      </c>
      <c r="D1204">
        <v>1</v>
      </c>
      <c r="E1204" t="s">
        <v>13</v>
      </c>
      <c r="F1204" t="s">
        <v>19</v>
      </c>
      <c r="G1204" s="3">
        <v>606</v>
      </c>
      <c r="H1204" s="3">
        <v>198.06</v>
      </c>
      <c r="I1204" s="3">
        <v>120024.36</v>
      </c>
      <c r="J1204" s="3">
        <v>-5.74</v>
      </c>
    </row>
    <row r="1205" spans="1:10" x14ac:dyDescent="0.25">
      <c r="A1205" s="2">
        <v>45677</v>
      </c>
      <c r="B1205">
        <v>2025</v>
      </c>
      <c r="C1205" t="s">
        <v>10</v>
      </c>
      <c r="D1205">
        <v>1</v>
      </c>
      <c r="E1205" t="s">
        <v>13</v>
      </c>
      <c r="F1205" t="s">
        <v>18</v>
      </c>
      <c r="G1205" s="3">
        <v>98</v>
      </c>
      <c r="H1205" s="3">
        <v>33.340000000000003</v>
      </c>
      <c r="I1205" s="3">
        <v>3267.32</v>
      </c>
      <c r="J1205" s="3">
        <v>0.02</v>
      </c>
    </row>
    <row r="1206" spans="1:10" x14ac:dyDescent="0.25">
      <c r="A1206" s="2">
        <v>45677</v>
      </c>
      <c r="B1206">
        <v>2025</v>
      </c>
      <c r="C1206" t="s">
        <v>10</v>
      </c>
      <c r="D1206">
        <v>1</v>
      </c>
      <c r="E1206" t="s">
        <v>13</v>
      </c>
      <c r="F1206" t="s">
        <v>24</v>
      </c>
      <c r="G1206" s="3">
        <v>478</v>
      </c>
      <c r="H1206" s="3">
        <v>107.18</v>
      </c>
      <c r="I1206" s="3">
        <v>51232.04</v>
      </c>
      <c r="J1206" s="3">
        <v>-14.47</v>
      </c>
    </row>
    <row r="1207" spans="1:10" x14ac:dyDescent="0.25">
      <c r="A1207" s="2">
        <v>45677</v>
      </c>
      <c r="B1207">
        <v>2025</v>
      </c>
      <c r="C1207" t="s">
        <v>10</v>
      </c>
      <c r="D1207">
        <v>1</v>
      </c>
      <c r="E1207" t="s">
        <v>13</v>
      </c>
      <c r="F1207" t="s">
        <v>16</v>
      </c>
      <c r="G1207" s="3">
        <v>583</v>
      </c>
      <c r="H1207" s="3">
        <v>106.27</v>
      </c>
      <c r="I1207" s="3">
        <v>61955.41</v>
      </c>
      <c r="J1207" s="3">
        <v>-7.73</v>
      </c>
    </row>
    <row r="1208" spans="1:10" x14ac:dyDescent="0.25">
      <c r="A1208" s="2">
        <v>45677</v>
      </c>
      <c r="B1208">
        <v>2025</v>
      </c>
      <c r="C1208" t="s">
        <v>10</v>
      </c>
      <c r="D1208">
        <v>1</v>
      </c>
      <c r="E1208" t="s">
        <v>13</v>
      </c>
      <c r="F1208" t="s">
        <v>15</v>
      </c>
      <c r="G1208" s="3">
        <v>433</v>
      </c>
      <c r="H1208" s="3">
        <v>56.63</v>
      </c>
      <c r="I1208" s="3">
        <v>24520.79</v>
      </c>
      <c r="J1208" s="3">
        <v>-12.32</v>
      </c>
    </row>
    <row r="1209" spans="1:10" x14ac:dyDescent="0.25">
      <c r="A1209" s="2">
        <v>45677</v>
      </c>
      <c r="B1209">
        <v>2025</v>
      </c>
      <c r="C1209" t="s">
        <v>10</v>
      </c>
      <c r="D1209">
        <v>1</v>
      </c>
      <c r="E1209" t="s">
        <v>13</v>
      </c>
      <c r="F1209" t="s">
        <v>14</v>
      </c>
      <c r="G1209" s="3">
        <v>591</v>
      </c>
      <c r="H1209" s="3">
        <v>136.6</v>
      </c>
      <c r="I1209" s="3">
        <v>80730.600000000006</v>
      </c>
      <c r="J1209" s="3">
        <v>-14.38</v>
      </c>
    </row>
    <row r="1210" spans="1:10" x14ac:dyDescent="0.25">
      <c r="A1210" s="2">
        <v>45677</v>
      </c>
      <c r="B1210">
        <v>2025</v>
      </c>
      <c r="C1210" t="s">
        <v>10</v>
      </c>
      <c r="D1210">
        <v>1</v>
      </c>
      <c r="E1210" t="s">
        <v>13</v>
      </c>
      <c r="F1210" t="s">
        <v>22</v>
      </c>
      <c r="G1210" s="3">
        <v>108</v>
      </c>
      <c r="H1210" s="3">
        <v>147.19</v>
      </c>
      <c r="I1210" s="3">
        <v>15896.52</v>
      </c>
      <c r="J1210" s="3">
        <v>-0.02</v>
      </c>
    </row>
    <row r="1211" spans="1:10" x14ac:dyDescent="0.25">
      <c r="A1211" s="2">
        <v>45677</v>
      </c>
      <c r="B1211">
        <v>2025</v>
      </c>
      <c r="C1211" t="s">
        <v>10</v>
      </c>
      <c r="D1211">
        <v>1</v>
      </c>
      <c r="E1211" t="s">
        <v>13</v>
      </c>
      <c r="F1211" t="s">
        <v>17</v>
      </c>
      <c r="G1211" s="3">
        <v>341</v>
      </c>
      <c r="H1211" s="3">
        <v>172.63</v>
      </c>
      <c r="I1211" s="3">
        <v>58866.83</v>
      </c>
      <c r="J1211" s="3">
        <v>6.82</v>
      </c>
    </row>
    <row r="1212" spans="1:10" x14ac:dyDescent="0.25">
      <c r="A1212" s="2">
        <v>45677</v>
      </c>
      <c r="B1212">
        <v>2025</v>
      </c>
      <c r="C1212" t="s">
        <v>10</v>
      </c>
      <c r="D1212">
        <v>1</v>
      </c>
      <c r="E1212" t="s">
        <v>13</v>
      </c>
      <c r="F1212" t="s">
        <v>25</v>
      </c>
      <c r="G1212" s="3">
        <v>621</v>
      </c>
      <c r="H1212" s="3">
        <v>150.09</v>
      </c>
      <c r="I1212" s="3">
        <v>93205.89</v>
      </c>
      <c r="J1212" s="3">
        <v>11.27</v>
      </c>
    </row>
    <row r="1213" spans="1:10" x14ac:dyDescent="0.25">
      <c r="A1213" s="2">
        <v>45677</v>
      </c>
      <c r="B1213">
        <v>2025</v>
      </c>
      <c r="C1213" t="s">
        <v>10</v>
      </c>
      <c r="D1213">
        <v>1</v>
      </c>
      <c r="E1213" t="s">
        <v>23</v>
      </c>
      <c r="F1213" t="s">
        <v>16</v>
      </c>
      <c r="G1213" s="3">
        <v>250</v>
      </c>
      <c r="H1213" s="3">
        <v>125.07</v>
      </c>
      <c r="I1213" s="3">
        <v>31267.5</v>
      </c>
      <c r="J1213" s="3">
        <v>16.28</v>
      </c>
    </row>
    <row r="1214" spans="1:10" x14ac:dyDescent="0.25">
      <c r="A1214" s="2">
        <v>45677</v>
      </c>
      <c r="B1214">
        <v>2025</v>
      </c>
      <c r="C1214" t="s">
        <v>10</v>
      </c>
      <c r="D1214">
        <v>1</v>
      </c>
      <c r="E1214" t="s">
        <v>23</v>
      </c>
      <c r="F1214" t="s">
        <v>24</v>
      </c>
      <c r="G1214" s="3">
        <v>111</v>
      </c>
      <c r="H1214" s="3">
        <v>171.62</v>
      </c>
      <c r="I1214" s="3">
        <v>19049.82</v>
      </c>
      <c r="J1214" s="3">
        <v>-7.0000000000000007E-2</v>
      </c>
    </row>
    <row r="1215" spans="1:10" x14ac:dyDescent="0.25">
      <c r="A1215" s="2">
        <v>45677</v>
      </c>
      <c r="B1215">
        <v>2025</v>
      </c>
      <c r="C1215" t="s">
        <v>10</v>
      </c>
      <c r="D1215">
        <v>1</v>
      </c>
      <c r="E1215" t="s">
        <v>23</v>
      </c>
      <c r="F1215" t="s">
        <v>14</v>
      </c>
      <c r="G1215" s="3">
        <v>720</v>
      </c>
      <c r="H1215" s="3">
        <v>164.81</v>
      </c>
      <c r="I1215" s="3">
        <v>118663.2</v>
      </c>
      <c r="J1215" s="3">
        <v>15.91</v>
      </c>
    </row>
    <row r="1216" spans="1:10" x14ac:dyDescent="0.25">
      <c r="A1216" s="2">
        <v>45677</v>
      </c>
      <c r="B1216">
        <v>2025</v>
      </c>
      <c r="C1216" t="s">
        <v>10</v>
      </c>
      <c r="D1216">
        <v>1</v>
      </c>
      <c r="E1216" t="s">
        <v>23</v>
      </c>
      <c r="F1216" t="s">
        <v>15</v>
      </c>
      <c r="G1216" s="3">
        <v>768</v>
      </c>
      <c r="H1216" s="3">
        <v>28.76</v>
      </c>
      <c r="I1216" s="3">
        <v>22087.68</v>
      </c>
      <c r="J1216" s="3">
        <v>8.24</v>
      </c>
    </row>
    <row r="1217" spans="1:10" x14ac:dyDescent="0.25">
      <c r="A1217" s="2">
        <v>45677</v>
      </c>
      <c r="B1217">
        <v>2025</v>
      </c>
      <c r="C1217" t="s">
        <v>10</v>
      </c>
      <c r="D1217">
        <v>1</v>
      </c>
      <c r="E1217" t="s">
        <v>23</v>
      </c>
      <c r="F1217" t="s">
        <v>17</v>
      </c>
      <c r="G1217" s="3">
        <v>478</v>
      </c>
      <c r="H1217" s="3">
        <v>83.04</v>
      </c>
      <c r="I1217" s="3">
        <v>39693.120000000003</v>
      </c>
      <c r="J1217" s="3">
        <v>12.1</v>
      </c>
    </row>
    <row r="1218" spans="1:10" x14ac:dyDescent="0.25">
      <c r="A1218" s="2">
        <v>45677</v>
      </c>
      <c r="B1218">
        <v>2025</v>
      </c>
      <c r="C1218" t="s">
        <v>10</v>
      </c>
      <c r="D1218">
        <v>1</v>
      </c>
      <c r="E1218" t="s">
        <v>23</v>
      </c>
      <c r="F1218" t="s">
        <v>18</v>
      </c>
      <c r="G1218" s="3">
        <v>549</v>
      </c>
      <c r="H1218" s="3">
        <v>45.26</v>
      </c>
      <c r="I1218" s="3">
        <v>24847.74</v>
      </c>
      <c r="J1218" s="3">
        <v>11.85</v>
      </c>
    </row>
    <row r="1219" spans="1:10" x14ac:dyDescent="0.25">
      <c r="A1219" s="2">
        <v>45677</v>
      </c>
      <c r="B1219">
        <v>2025</v>
      </c>
      <c r="C1219" t="s">
        <v>10</v>
      </c>
      <c r="D1219">
        <v>1</v>
      </c>
      <c r="E1219" t="s">
        <v>23</v>
      </c>
      <c r="F1219" t="s">
        <v>19</v>
      </c>
      <c r="G1219" s="3">
        <v>753</v>
      </c>
      <c r="H1219" s="3">
        <v>148.38</v>
      </c>
      <c r="I1219" s="3">
        <v>111730.14</v>
      </c>
      <c r="J1219" s="3">
        <v>0.46</v>
      </c>
    </row>
    <row r="1220" spans="1:10" x14ac:dyDescent="0.25">
      <c r="A1220" s="2">
        <v>45677</v>
      </c>
      <c r="B1220">
        <v>2025</v>
      </c>
      <c r="C1220" t="s">
        <v>10</v>
      </c>
      <c r="D1220">
        <v>1</v>
      </c>
      <c r="E1220" t="s">
        <v>23</v>
      </c>
      <c r="F1220" t="s">
        <v>20</v>
      </c>
      <c r="G1220" s="3">
        <v>141</v>
      </c>
      <c r="H1220" s="3">
        <v>55.1</v>
      </c>
      <c r="I1220" s="3">
        <v>7769.1</v>
      </c>
      <c r="J1220" s="3">
        <v>20.62</v>
      </c>
    </row>
    <row r="1221" spans="1:10" x14ac:dyDescent="0.25">
      <c r="A1221" s="2">
        <v>45677</v>
      </c>
      <c r="B1221">
        <v>2025</v>
      </c>
      <c r="C1221" t="s">
        <v>10</v>
      </c>
      <c r="D1221">
        <v>1</v>
      </c>
      <c r="E1221" t="s">
        <v>23</v>
      </c>
      <c r="F1221" t="s">
        <v>21</v>
      </c>
      <c r="G1221" s="3">
        <v>491</v>
      </c>
      <c r="H1221" s="3">
        <v>183.48</v>
      </c>
      <c r="I1221" s="3">
        <v>90088.68</v>
      </c>
      <c r="J1221" s="3">
        <v>15.35</v>
      </c>
    </row>
    <row r="1222" spans="1:10" x14ac:dyDescent="0.25">
      <c r="A1222" s="2">
        <v>45677</v>
      </c>
      <c r="B1222">
        <v>2025</v>
      </c>
      <c r="C1222" t="s">
        <v>10</v>
      </c>
      <c r="D1222">
        <v>1</v>
      </c>
      <c r="E1222" t="s">
        <v>23</v>
      </c>
      <c r="F1222" t="s">
        <v>22</v>
      </c>
      <c r="G1222" s="3">
        <v>625</v>
      </c>
      <c r="H1222" s="3">
        <v>159.37</v>
      </c>
      <c r="I1222" s="3">
        <v>99606.25</v>
      </c>
      <c r="J1222" s="3">
        <v>19.100000000000001</v>
      </c>
    </row>
    <row r="1223" spans="1:10" x14ac:dyDescent="0.25">
      <c r="A1223" s="2">
        <v>45677</v>
      </c>
      <c r="B1223">
        <v>2025</v>
      </c>
      <c r="C1223" t="s">
        <v>10</v>
      </c>
      <c r="D1223">
        <v>1</v>
      </c>
      <c r="E1223" t="s">
        <v>13</v>
      </c>
      <c r="F1223" t="s">
        <v>12</v>
      </c>
      <c r="G1223" s="3">
        <v>767</v>
      </c>
      <c r="H1223" s="3">
        <v>111.9</v>
      </c>
      <c r="I1223" s="3">
        <v>85827.3</v>
      </c>
      <c r="J1223" s="3">
        <v>17.82</v>
      </c>
    </row>
    <row r="1224" spans="1:10" x14ac:dyDescent="0.25">
      <c r="A1224" s="2">
        <v>45677</v>
      </c>
      <c r="B1224">
        <v>2025</v>
      </c>
      <c r="C1224" t="s">
        <v>10</v>
      </c>
      <c r="D1224">
        <v>1</v>
      </c>
      <c r="E1224" t="s">
        <v>23</v>
      </c>
      <c r="F1224" t="s">
        <v>12</v>
      </c>
      <c r="G1224" s="3">
        <v>668</v>
      </c>
      <c r="H1224" s="3">
        <v>187.27</v>
      </c>
      <c r="I1224" s="3">
        <v>125096.36</v>
      </c>
      <c r="J1224" s="3">
        <v>0.17</v>
      </c>
    </row>
    <row r="1225" spans="1:10" x14ac:dyDescent="0.25">
      <c r="A1225" s="2">
        <v>45677</v>
      </c>
      <c r="B1225">
        <v>2025</v>
      </c>
      <c r="C1225" t="s">
        <v>10</v>
      </c>
      <c r="D1225">
        <v>1</v>
      </c>
      <c r="E1225" t="s">
        <v>23</v>
      </c>
      <c r="F1225" t="s">
        <v>25</v>
      </c>
      <c r="G1225" s="3">
        <v>519</v>
      </c>
      <c r="H1225" s="3">
        <v>156.49</v>
      </c>
      <c r="I1225" s="3">
        <v>81218.31</v>
      </c>
      <c r="J1225" s="3">
        <v>-2.72</v>
      </c>
    </row>
    <row r="1226" spans="1:10" x14ac:dyDescent="0.25">
      <c r="A1226" s="2">
        <v>45677</v>
      </c>
      <c r="B1226">
        <v>2025</v>
      </c>
      <c r="C1226" t="s">
        <v>10</v>
      </c>
      <c r="D1226">
        <v>1</v>
      </c>
      <c r="E1226" t="s">
        <v>26</v>
      </c>
      <c r="F1226" t="s">
        <v>25</v>
      </c>
      <c r="G1226" s="3">
        <v>413</v>
      </c>
      <c r="H1226" s="3">
        <v>80.05</v>
      </c>
      <c r="I1226" s="3">
        <v>33060.65</v>
      </c>
      <c r="J1226" s="3">
        <v>16.66</v>
      </c>
    </row>
    <row r="1227" spans="1:10" x14ac:dyDescent="0.25">
      <c r="A1227" s="2">
        <v>45677</v>
      </c>
      <c r="B1227">
        <v>2025</v>
      </c>
      <c r="C1227" t="s">
        <v>10</v>
      </c>
      <c r="D1227">
        <v>1</v>
      </c>
      <c r="E1227" t="s">
        <v>26</v>
      </c>
      <c r="F1227" t="s">
        <v>21</v>
      </c>
      <c r="G1227" s="3">
        <v>122</v>
      </c>
      <c r="H1227" s="3">
        <v>116.42</v>
      </c>
      <c r="I1227" s="3">
        <v>14203.24</v>
      </c>
      <c r="J1227" s="3">
        <v>18.440000000000001</v>
      </c>
    </row>
    <row r="1228" spans="1:10" x14ac:dyDescent="0.25">
      <c r="A1228" s="2">
        <v>45677</v>
      </c>
      <c r="B1228">
        <v>2025</v>
      </c>
      <c r="C1228" t="s">
        <v>10</v>
      </c>
      <c r="D1228">
        <v>1</v>
      </c>
      <c r="E1228" t="s">
        <v>26</v>
      </c>
      <c r="F1228" t="s">
        <v>22</v>
      </c>
      <c r="G1228" s="3">
        <v>554</v>
      </c>
      <c r="H1228" s="3">
        <v>177.35</v>
      </c>
      <c r="I1228" s="3">
        <v>98251.9</v>
      </c>
      <c r="J1228" s="3">
        <v>-6.86</v>
      </c>
    </row>
    <row r="1229" spans="1:10" x14ac:dyDescent="0.25">
      <c r="A1229" s="2">
        <v>45677</v>
      </c>
      <c r="B1229">
        <v>2025</v>
      </c>
      <c r="C1229" t="s">
        <v>10</v>
      </c>
      <c r="D1229">
        <v>1</v>
      </c>
      <c r="E1229" t="s">
        <v>11</v>
      </c>
      <c r="F1229" t="s">
        <v>12</v>
      </c>
      <c r="G1229" s="3">
        <v>499</v>
      </c>
      <c r="H1229" s="3">
        <v>115.74</v>
      </c>
      <c r="I1229" s="3">
        <v>57754.26</v>
      </c>
      <c r="J1229" s="3">
        <v>16.579999999999998</v>
      </c>
    </row>
    <row r="1230" spans="1:10" x14ac:dyDescent="0.25">
      <c r="A1230" s="2">
        <v>45677</v>
      </c>
      <c r="B1230">
        <v>2025</v>
      </c>
      <c r="C1230" t="s">
        <v>10</v>
      </c>
      <c r="D1230">
        <v>1</v>
      </c>
      <c r="E1230" t="s">
        <v>11</v>
      </c>
      <c r="F1230" t="s">
        <v>24</v>
      </c>
      <c r="G1230" s="3">
        <v>655</v>
      </c>
      <c r="H1230" s="3">
        <v>49.05</v>
      </c>
      <c r="I1230" s="3">
        <v>32127.75</v>
      </c>
      <c r="J1230" s="3">
        <v>-11.66</v>
      </c>
    </row>
    <row r="1231" spans="1:10" x14ac:dyDescent="0.25">
      <c r="A1231" s="2">
        <v>45677</v>
      </c>
      <c r="B1231">
        <v>2025</v>
      </c>
      <c r="C1231" t="s">
        <v>10</v>
      </c>
      <c r="D1231">
        <v>1</v>
      </c>
      <c r="E1231" t="s">
        <v>11</v>
      </c>
      <c r="F1231" t="s">
        <v>14</v>
      </c>
      <c r="G1231" s="3">
        <v>770</v>
      </c>
      <c r="H1231" s="3">
        <v>94.56</v>
      </c>
      <c r="I1231" s="3">
        <v>72811.199999999997</v>
      </c>
      <c r="J1231" s="3">
        <v>14.3</v>
      </c>
    </row>
    <row r="1232" spans="1:10" x14ac:dyDescent="0.25">
      <c r="A1232" s="2">
        <v>45677</v>
      </c>
      <c r="B1232">
        <v>2025</v>
      </c>
      <c r="C1232" t="s">
        <v>10</v>
      </c>
      <c r="D1232">
        <v>1</v>
      </c>
      <c r="E1232" t="s">
        <v>11</v>
      </c>
      <c r="F1232" t="s">
        <v>15</v>
      </c>
      <c r="G1232" s="3">
        <v>548</v>
      </c>
      <c r="H1232" s="3">
        <v>63.48</v>
      </c>
      <c r="I1232" s="3">
        <v>34787.040000000001</v>
      </c>
      <c r="J1232" s="3">
        <v>-0.83</v>
      </c>
    </row>
    <row r="1233" spans="1:10" x14ac:dyDescent="0.25">
      <c r="A1233" s="2">
        <v>45677</v>
      </c>
      <c r="B1233">
        <v>2025</v>
      </c>
      <c r="C1233" t="s">
        <v>10</v>
      </c>
      <c r="D1233">
        <v>1</v>
      </c>
      <c r="E1233" t="s">
        <v>11</v>
      </c>
      <c r="F1233" t="s">
        <v>16</v>
      </c>
      <c r="G1233" s="3">
        <v>164</v>
      </c>
      <c r="H1233" s="3">
        <v>60.03</v>
      </c>
      <c r="I1233" s="3">
        <v>9844.92</v>
      </c>
      <c r="J1233" s="3">
        <v>5.77</v>
      </c>
    </row>
    <row r="1234" spans="1:10" x14ac:dyDescent="0.25">
      <c r="A1234" s="2">
        <v>45677</v>
      </c>
      <c r="B1234">
        <v>2025</v>
      </c>
      <c r="C1234" t="s">
        <v>10</v>
      </c>
      <c r="D1234">
        <v>1</v>
      </c>
      <c r="E1234" t="s">
        <v>11</v>
      </c>
      <c r="F1234" t="s">
        <v>18</v>
      </c>
      <c r="G1234" s="3">
        <v>608</v>
      </c>
      <c r="H1234" s="3">
        <v>90.39</v>
      </c>
      <c r="I1234" s="3">
        <v>54957.120000000003</v>
      </c>
      <c r="J1234" s="3">
        <v>-5.63</v>
      </c>
    </row>
    <row r="1235" spans="1:10" x14ac:dyDescent="0.25">
      <c r="A1235" s="2">
        <v>45677</v>
      </c>
      <c r="B1235">
        <v>2025</v>
      </c>
      <c r="C1235" t="s">
        <v>10</v>
      </c>
      <c r="D1235">
        <v>1</v>
      </c>
      <c r="E1235" t="s">
        <v>11</v>
      </c>
      <c r="F1235" t="s">
        <v>19</v>
      </c>
      <c r="G1235" s="3">
        <v>431</v>
      </c>
      <c r="H1235" s="3">
        <v>192.78</v>
      </c>
      <c r="I1235" s="3">
        <v>83088.179999999993</v>
      </c>
      <c r="J1235" s="3">
        <v>9.65</v>
      </c>
    </row>
    <row r="1236" spans="1:10" x14ac:dyDescent="0.25">
      <c r="A1236" s="2">
        <v>45677</v>
      </c>
      <c r="B1236">
        <v>2025</v>
      </c>
      <c r="C1236" t="s">
        <v>10</v>
      </c>
      <c r="D1236">
        <v>1</v>
      </c>
      <c r="E1236" t="s">
        <v>11</v>
      </c>
      <c r="F1236" t="s">
        <v>20</v>
      </c>
      <c r="G1236" s="3">
        <v>558</v>
      </c>
      <c r="H1236" s="3">
        <v>94.65</v>
      </c>
      <c r="I1236" s="3">
        <v>52814.7</v>
      </c>
      <c r="J1236" s="3">
        <v>15.15</v>
      </c>
    </row>
    <row r="1237" spans="1:10" x14ac:dyDescent="0.25">
      <c r="A1237" s="2">
        <v>45677</v>
      </c>
      <c r="B1237">
        <v>2025</v>
      </c>
      <c r="C1237" t="s">
        <v>10</v>
      </c>
      <c r="D1237">
        <v>1</v>
      </c>
      <c r="E1237" t="s">
        <v>11</v>
      </c>
      <c r="F1237" t="s">
        <v>21</v>
      </c>
      <c r="G1237" s="3">
        <v>530</v>
      </c>
      <c r="H1237" s="3">
        <v>117.36</v>
      </c>
      <c r="I1237" s="3">
        <v>62200.800000000003</v>
      </c>
      <c r="J1237" s="3">
        <v>12.86</v>
      </c>
    </row>
    <row r="1238" spans="1:10" x14ac:dyDescent="0.25">
      <c r="A1238" s="2">
        <v>45677</v>
      </c>
      <c r="B1238">
        <v>2025</v>
      </c>
      <c r="C1238" t="s">
        <v>10</v>
      </c>
      <c r="D1238">
        <v>1</v>
      </c>
      <c r="E1238" t="s">
        <v>11</v>
      </c>
      <c r="F1238" t="s">
        <v>17</v>
      </c>
      <c r="G1238" s="3">
        <v>589</v>
      </c>
      <c r="H1238" s="3">
        <v>75.98</v>
      </c>
      <c r="I1238" s="3">
        <v>44752.22</v>
      </c>
      <c r="J1238" s="3">
        <v>-8.32</v>
      </c>
    </row>
    <row r="1239" spans="1:10" x14ac:dyDescent="0.25">
      <c r="A1239" s="2">
        <v>45677</v>
      </c>
      <c r="B1239">
        <v>2025</v>
      </c>
      <c r="C1239" t="s">
        <v>10</v>
      </c>
      <c r="D1239">
        <v>1</v>
      </c>
      <c r="E1239" t="s">
        <v>11</v>
      </c>
      <c r="F1239" t="s">
        <v>25</v>
      </c>
      <c r="G1239" s="3">
        <v>403</v>
      </c>
      <c r="H1239" s="3">
        <v>94.15</v>
      </c>
      <c r="I1239" s="3">
        <v>37942.449999999997</v>
      </c>
      <c r="J1239" s="3">
        <v>19.82</v>
      </c>
    </row>
    <row r="1240" spans="1:10" x14ac:dyDescent="0.25">
      <c r="A1240" s="2">
        <v>45677</v>
      </c>
      <c r="B1240">
        <v>2025</v>
      </c>
      <c r="C1240" t="s">
        <v>10</v>
      </c>
      <c r="D1240">
        <v>1</v>
      </c>
      <c r="E1240" t="s">
        <v>11</v>
      </c>
      <c r="F1240" t="s">
        <v>22</v>
      </c>
      <c r="G1240" s="3">
        <v>224</v>
      </c>
      <c r="H1240" s="3">
        <v>155.65</v>
      </c>
      <c r="I1240" s="3">
        <v>34865.599999999999</v>
      </c>
      <c r="J1240" s="3">
        <v>-6.85</v>
      </c>
    </row>
    <row r="1241" spans="1:10" x14ac:dyDescent="0.25">
      <c r="A1241" s="2">
        <v>45677</v>
      </c>
      <c r="B1241">
        <v>2025</v>
      </c>
      <c r="C1241" t="s">
        <v>10</v>
      </c>
      <c r="D1241">
        <v>1</v>
      </c>
      <c r="E1241" t="s">
        <v>26</v>
      </c>
      <c r="F1241" t="s">
        <v>19</v>
      </c>
      <c r="G1241" s="3">
        <v>590</v>
      </c>
      <c r="H1241" s="3">
        <v>133.12</v>
      </c>
      <c r="I1241" s="3">
        <v>78540.800000000003</v>
      </c>
      <c r="J1241" s="3">
        <v>12.55</v>
      </c>
    </row>
    <row r="1242" spans="1:10" x14ac:dyDescent="0.25">
      <c r="A1242" s="2">
        <v>45677</v>
      </c>
      <c r="B1242">
        <v>2025</v>
      </c>
      <c r="C1242" t="s">
        <v>10</v>
      </c>
      <c r="D1242">
        <v>1</v>
      </c>
      <c r="E1242" t="s">
        <v>26</v>
      </c>
      <c r="F1242" t="s">
        <v>18</v>
      </c>
      <c r="G1242" s="3">
        <v>586</v>
      </c>
      <c r="H1242" s="3">
        <v>141.18</v>
      </c>
      <c r="I1242" s="3">
        <v>82731.48</v>
      </c>
      <c r="J1242" s="3">
        <v>1.32</v>
      </c>
    </row>
    <row r="1243" spans="1:10" x14ac:dyDescent="0.25">
      <c r="A1243" s="2">
        <v>45677</v>
      </c>
      <c r="B1243">
        <v>2025</v>
      </c>
      <c r="C1243" t="s">
        <v>10</v>
      </c>
      <c r="D1243">
        <v>1</v>
      </c>
      <c r="E1243" t="s">
        <v>26</v>
      </c>
      <c r="F1243" t="s">
        <v>17</v>
      </c>
      <c r="G1243" s="3">
        <v>242</v>
      </c>
      <c r="H1243" s="3">
        <v>23.26</v>
      </c>
      <c r="I1243" s="3">
        <v>5628.92</v>
      </c>
      <c r="J1243" s="3">
        <v>16.71</v>
      </c>
    </row>
    <row r="1244" spans="1:10" x14ac:dyDescent="0.25">
      <c r="A1244" s="2">
        <v>45677</v>
      </c>
      <c r="B1244">
        <v>2025</v>
      </c>
      <c r="C1244" t="s">
        <v>10</v>
      </c>
      <c r="D1244">
        <v>1</v>
      </c>
      <c r="E1244" t="s">
        <v>26</v>
      </c>
      <c r="F1244" t="s">
        <v>16</v>
      </c>
      <c r="G1244" s="3">
        <v>500</v>
      </c>
      <c r="H1244" s="3">
        <v>56.78</v>
      </c>
      <c r="I1244" s="3">
        <v>28390</v>
      </c>
      <c r="J1244" s="3">
        <v>5.31</v>
      </c>
    </row>
    <row r="1245" spans="1:10" x14ac:dyDescent="0.25">
      <c r="A1245" s="2">
        <v>45677</v>
      </c>
      <c r="B1245">
        <v>2025</v>
      </c>
      <c r="C1245" t="s">
        <v>10</v>
      </c>
      <c r="D1245">
        <v>1</v>
      </c>
      <c r="E1245" t="s">
        <v>26</v>
      </c>
      <c r="F1245" t="s">
        <v>20</v>
      </c>
      <c r="G1245" s="3">
        <v>429</v>
      </c>
      <c r="H1245" s="3">
        <v>178.68</v>
      </c>
      <c r="I1245" s="3">
        <v>76653.72</v>
      </c>
      <c r="J1245" s="3">
        <v>14.25</v>
      </c>
    </row>
    <row r="1246" spans="1:10" x14ac:dyDescent="0.25">
      <c r="A1246" s="2">
        <v>45677</v>
      </c>
      <c r="B1246">
        <v>2025</v>
      </c>
      <c r="C1246" t="s">
        <v>10</v>
      </c>
      <c r="D1246">
        <v>1</v>
      </c>
      <c r="E1246" t="s">
        <v>26</v>
      </c>
      <c r="F1246" t="s">
        <v>14</v>
      </c>
      <c r="G1246" s="3">
        <v>344</v>
      </c>
      <c r="H1246" s="3">
        <v>45.71</v>
      </c>
      <c r="I1246" s="3">
        <v>15724.24</v>
      </c>
      <c r="J1246" s="3">
        <v>12.68</v>
      </c>
    </row>
    <row r="1247" spans="1:10" x14ac:dyDescent="0.25">
      <c r="A1247" s="2">
        <v>45677</v>
      </c>
      <c r="B1247">
        <v>2025</v>
      </c>
      <c r="C1247" t="s">
        <v>10</v>
      </c>
      <c r="D1247">
        <v>1</v>
      </c>
      <c r="E1247" t="s">
        <v>26</v>
      </c>
      <c r="F1247" t="s">
        <v>24</v>
      </c>
      <c r="G1247" s="3">
        <v>482</v>
      </c>
      <c r="H1247" s="3">
        <v>109.23</v>
      </c>
      <c r="I1247" s="3">
        <v>52648.86</v>
      </c>
      <c r="J1247" s="3">
        <v>22.33</v>
      </c>
    </row>
    <row r="1248" spans="1:10" x14ac:dyDescent="0.25">
      <c r="A1248" s="2">
        <v>45677</v>
      </c>
      <c r="B1248">
        <v>2025</v>
      </c>
      <c r="C1248" t="s">
        <v>10</v>
      </c>
      <c r="D1248">
        <v>1</v>
      </c>
      <c r="E1248" t="s">
        <v>26</v>
      </c>
      <c r="F1248" t="s">
        <v>12</v>
      </c>
      <c r="G1248" s="3">
        <v>142</v>
      </c>
      <c r="H1248" s="3">
        <v>115.85</v>
      </c>
      <c r="I1248" s="3">
        <v>16450.7</v>
      </c>
      <c r="J1248" s="3">
        <v>-10.38</v>
      </c>
    </row>
    <row r="1249" spans="1:10" x14ac:dyDescent="0.25">
      <c r="A1249" s="2">
        <v>45677</v>
      </c>
      <c r="B1249">
        <v>2025</v>
      </c>
      <c r="C1249" t="s">
        <v>10</v>
      </c>
      <c r="D1249">
        <v>1</v>
      </c>
      <c r="E1249" t="s">
        <v>26</v>
      </c>
      <c r="F1249" t="s">
        <v>15</v>
      </c>
      <c r="G1249" s="3">
        <v>120</v>
      </c>
      <c r="H1249" s="3">
        <v>40.57</v>
      </c>
      <c r="I1249" s="3">
        <v>4868.3999999999996</v>
      </c>
      <c r="J1249" s="3">
        <v>15.59</v>
      </c>
    </row>
    <row r="1250" spans="1:10" x14ac:dyDescent="0.25">
      <c r="A1250" s="2">
        <v>45707</v>
      </c>
      <c r="B1250">
        <v>2025</v>
      </c>
      <c r="C1250" t="s">
        <v>37</v>
      </c>
      <c r="D1250">
        <v>2</v>
      </c>
      <c r="E1250" t="s">
        <v>13</v>
      </c>
      <c r="F1250" t="s">
        <v>22</v>
      </c>
      <c r="G1250" s="3">
        <v>97</v>
      </c>
      <c r="H1250" s="3">
        <v>127.43</v>
      </c>
      <c r="I1250" s="3">
        <v>12360.71</v>
      </c>
      <c r="J1250" s="3">
        <v>22.13</v>
      </c>
    </row>
    <row r="1251" spans="1:10" x14ac:dyDescent="0.25">
      <c r="A1251" s="2">
        <v>45707</v>
      </c>
      <c r="B1251">
        <v>2025</v>
      </c>
      <c r="C1251" t="s">
        <v>37</v>
      </c>
      <c r="D1251">
        <v>2</v>
      </c>
      <c r="E1251" t="s">
        <v>13</v>
      </c>
      <c r="F1251" t="s">
        <v>14</v>
      </c>
      <c r="G1251" s="3">
        <v>557</v>
      </c>
      <c r="H1251" s="3">
        <v>137.78</v>
      </c>
      <c r="I1251" s="3">
        <v>76743.460000000006</v>
      </c>
      <c r="J1251" s="3">
        <v>-5.72</v>
      </c>
    </row>
    <row r="1252" spans="1:10" x14ac:dyDescent="0.25">
      <c r="A1252" s="2">
        <v>45707</v>
      </c>
      <c r="B1252">
        <v>2025</v>
      </c>
      <c r="C1252" t="s">
        <v>37</v>
      </c>
      <c r="D1252">
        <v>2</v>
      </c>
      <c r="E1252" t="s">
        <v>13</v>
      </c>
      <c r="F1252" t="s">
        <v>15</v>
      </c>
      <c r="G1252" s="3">
        <v>215</v>
      </c>
      <c r="H1252" s="3">
        <v>23.09</v>
      </c>
      <c r="I1252" s="3">
        <v>4964.3500000000004</v>
      </c>
      <c r="J1252" s="3">
        <v>21.66</v>
      </c>
    </row>
    <row r="1253" spans="1:10" x14ac:dyDescent="0.25">
      <c r="A1253" s="2">
        <v>45707</v>
      </c>
      <c r="B1253">
        <v>2025</v>
      </c>
      <c r="C1253" t="s">
        <v>37</v>
      </c>
      <c r="D1253">
        <v>2</v>
      </c>
      <c r="E1253" t="s">
        <v>13</v>
      </c>
      <c r="F1253" t="s">
        <v>16</v>
      </c>
      <c r="G1253" s="3">
        <v>482</v>
      </c>
      <c r="H1253" s="3">
        <v>157.21</v>
      </c>
      <c r="I1253" s="3">
        <v>75775.22</v>
      </c>
      <c r="J1253" s="3">
        <v>-13.44</v>
      </c>
    </row>
    <row r="1254" spans="1:10" x14ac:dyDescent="0.25">
      <c r="A1254" s="2">
        <v>45707</v>
      </c>
      <c r="B1254">
        <v>2025</v>
      </c>
      <c r="C1254" t="s">
        <v>37</v>
      </c>
      <c r="D1254">
        <v>2</v>
      </c>
      <c r="E1254" t="s">
        <v>13</v>
      </c>
      <c r="F1254" t="s">
        <v>17</v>
      </c>
      <c r="G1254" s="3">
        <v>256</v>
      </c>
      <c r="H1254" s="3">
        <v>112.09</v>
      </c>
      <c r="I1254" s="3">
        <v>28695.040000000001</v>
      </c>
      <c r="J1254" s="3">
        <v>-14.79</v>
      </c>
    </row>
    <row r="1255" spans="1:10" x14ac:dyDescent="0.25">
      <c r="A1255" s="2">
        <v>45707</v>
      </c>
      <c r="B1255">
        <v>2025</v>
      </c>
      <c r="C1255" t="s">
        <v>37</v>
      </c>
      <c r="D1255">
        <v>2</v>
      </c>
      <c r="E1255" t="s">
        <v>13</v>
      </c>
      <c r="F1255" t="s">
        <v>18</v>
      </c>
      <c r="G1255" s="3">
        <v>564</v>
      </c>
      <c r="H1255" s="3">
        <v>132.43</v>
      </c>
      <c r="I1255" s="3">
        <v>74690.52</v>
      </c>
      <c r="J1255" s="3">
        <v>19.579999999999998</v>
      </c>
    </row>
    <row r="1256" spans="1:10" x14ac:dyDescent="0.25">
      <c r="A1256" s="2">
        <v>45707</v>
      </c>
      <c r="B1256">
        <v>2025</v>
      </c>
      <c r="C1256" t="s">
        <v>37</v>
      </c>
      <c r="D1256">
        <v>2</v>
      </c>
      <c r="E1256" t="s">
        <v>13</v>
      </c>
      <c r="F1256" t="s">
        <v>19</v>
      </c>
      <c r="G1256" s="3">
        <v>187</v>
      </c>
      <c r="H1256" s="3">
        <v>90.31</v>
      </c>
      <c r="I1256" s="3">
        <v>16887.97</v>
      </c>
      <c r="J1256" s="3">
        <v>-12.23</v>
      </c>
    </row>
    <row r="1257" spans="1:10" x14ac:dyDescent="0.25">
      <c r="A1257" s="2">
        <v>45707</v>
      </c>
      <c r="B1257">
        <v>2025</v>
      </c>
      <c r="C1257" t="s">
        <v>37</v>
      </c>
      <c r="D1257">
        <v>2</v>
      </c>
      <c r="E1257" t="s">
        <v>13</v>
      </c>
      <c r="F1257" t="s">
        <v>20</v>
      </c>
      <c r="G1257" s="3">
        <v>590</v>
      </c>
      <c r="H1257" s="3">
        <v>156.21</v>
      </c>
      <c r="I1257" s="3">
        <v>92163.9</v>
      </c>
      <c r="J1257" s="3">
        <v>2.69</v>
      </c>
    </row>
    <row r="1258" spans="1:10" x14ac:dyDescent="0.25">
      <c r="A1258" s="2">
        <v>45707</v>
      </c>
      <c r="B1258">
        <v>2025</v>
      </c>
      <c r="C1258" t="s">
        <v>37</v>
      </c>
      <c r="D1258">
        <v>2</v>
      </c>
      <c r="E1258" t="s">
        <v>13</v>
      </c>
      <c r="F1258" t="s">
        <v>21</v>
      </c>
      <c r="G1258" s="3">
        <v>123</v>
      </c>
      <c r="H1258" s="3">
        <v>44.92</v>
      </c>
      <c r="I1258" s="3">
        <v>5525.16</v>
      </c>
      <c r="J1258" s="3">
        <v>8.15</v>
      </c>
    </row>
    <row r="1259" spans="1:10" x14ac:dyDescent="0.25">
      <c r="A1259" s="2">
        <v>45707</v>
      </c>
      <c r="B1259">
        <v>2025</v>
      </c>
      <c r="C1259" t="s">
        <v>37</v>
      </c>
      <c r="D1259">
        <v>2</v>
      </c>
      <c r="E1259" t="s">
        <v>23</v>
      </c>
      <c r="F1259" t="s">
        <v>25</v>
      </c>
      <c r="G1259" s="3">
        <v>453</v>
      </c>
      <c r="H1259" s="3">
        <v>143.37</v>
      </c>
      <c r="I1259" s="3">
        <v>64946.61</v>
      </c>
      <c r="J1259" s="3">
        <v>-14</v>
      </c>
    </row>
    <row r="1260" spans="1:10" x14ac:dyDescent="0.25">
      <c r="A1260" s="2">
        <v>45707</v>
      </c>
      <c r="B1260">
        <v>2025</v>
      </c>
      <c r="C1260" t="s">
        <v>37</v>
      </c>
      <c r="D1260">
        <v>2</v>
      </c>
      <c r="E1260" t="s">
        <v>13</v>
      </c>
      <c r="F1260" t="s">
        <v>24</v>
      </c>
      <c r="G1260" s="3">
        <v>508</v>
      </c>
      <c r="H1260" s="3">
        <v>84.88</v>
      </c>
      <c r="I1260" s="3">
        <v>43119.040000000001</v>
      </c>
      <c r="J1260" s="3">
        <v>16.350000000000001</v>
      </c>
    </row>
    <row r="1261" spans="1:10" x14ac:dyDescent="0.25">
      <c r="A1261" s="2">
        <v>45707</v>
      </c>
      <c r="B1261">
        <v>2025</v>
      </c>
      <c r="C1261" t="s">
        <v>37</v>
      </c>
      <c r="D1261">
        <v>2</v>
      </c>
      <c r="E1261" t="s">
        <v>23</v>
      </c>
      <c r="F1261" t="s">
        <v>24</v>
      </c>
      <c r="G1261" s="3">
        <v>611</v>
      </c>
      <c r="H1261" s="3">
        <v>136.91</v>
      </c>
      <c r="I1261" s="3">
        <v>83652.009999999995</v>
      </c>
      <c r="J1261" s="3">
        <v>17.18</v>
      </c>
    </row>
    <row r="1262" spans="1:10" x14ac:dyDescent="0.25">
      <c r="A1262" s="2">
        <v>45707</v>
      </c>
      <c r="B1262">
        <v>2025</v>
      </c>
      <c r="C1262" t="s">
        <v>37</v>
      </c>
      <c r="D1262">
        <v>2</v>
      </c>
      <c r="E1262" t="s">
        <v>23</v>
      </c>
      <c r="F1262" t="s">
        <v>14</v>
      </c>
      <c r="G1262" s="3">
        <v>517</v>
      </c>
      <c r="H1262" s="3">
        <v>189.19</v>
      </c>
      <c r="I1262" s="3">
        <v>97811.23</v>
      </c>
      <c r="J1262" s="3">
        <v>5.16</v>
      </c>
    </row>
    <row r="1263" spans="1:10" x14ac:dyDescent="0.25">
      <c r="A1263" s="2">
        <v>45707</v>
      </c>
      <c r="B1263">
        <v>2025</v>
      </c>
      <c r="C1263" t="s">
        <v>37</v>
      </c>
      <c r="D1263">
        <v>2</v>
      </c>
      <c r="E1263" t="s">
        <v>23</v>
      </c>
      <c r="F1263" t="s">
        <v>15</v>
      </c>
      <c r="G1263" s="3">
        <v>337</v>
      </c>
      <c r="H1263" s="3">
        <v>101.86</v>
      </c>
      <c r="I1263" s="3">
        <v>34326.82</v>
      </c>
      <c r="J1263" s="3">
        <v>11.99</v>
      </c>
    </row>
    <row r="1264" spans="1:10" x14ac:dyDescent="0.25">
      <c r="A1264" s="2">
        <v>45707</v>
      </c>
      <c r="B1264">
        <v>2025</v>
      </c>
      <c r="C1264" t="s">
        <v>37</v>
      </c>
      <c r="D1264">
        <v>2</v>
      </c>
      <c r="E1264" t="s">
        <v>23</v>
      </c>
      <c r="F1264" t="s">
        <v>16</v>
      </c>
      <c r="G1264" s="3">
        <v>616</v>
      </c>
      <c r="H1264" s="3">
        <v>175.46</v>
      </c>
      <c r="I1264" s="3">
        <v>108083.36</v>
      </c>
      <c r="J1264" s="3">
        <v>-10.6</v>
      </c>
    </row>
    <row r="1265" spans="1:10" x14ac:dyDescent="0.25">
      <c r="A1265" s="2">
        <v>45707</v>
      </c>
      <c r="B1265">
        <v>2025</v>
      </c>
      <c r="C1265" t="s">
        <v>37</v>
      </c>
      <c r="D1265">
        <v>2</v>
      </c>
      <c r="E1265" t="s">
        <v>23</v>
      </c>
      <c r="F1265" t="s">
        <v>17</v>
      </c>
      <c r="G1265" s="3">
        <v>124</v>
      </c>
      <c r="H1265" s="3">
        <v>50.12</v>
      </c>
      <c r="I1265" s="3">
        <v>6214.88</v>
      </c>
      <c r="J1265" s="3">
        <v>5.01</v>
      </c>
    </row>
    <row r="1266" spans="1:10" x14ac:dyDescent="0.25">
      <c r="A1266" s="2">
        <v>45707</v>
      </c>
      <c r="B1266">
        <v>2025</v>
      </c>
      <c r="C1266" t="s">
        <v>37</v>
      </c>
      <c r="D1266">
        <v>2</v>
      </c>
      <c r="E1266" t="s">
        <v>23</v>
      </c>
      <c r="F1266" t="s">
        <v>18</v>
      </c>
      <c r="G1266" s="3">
        <v>474</v>
      </c>
      <c r="H1266" s="3">
        <v>135.97</v>
      </c>
      <c r="I1266" s="3">
        <v>64449.78</v>
      </c>
      <c r="J1266" s="3">
        <v>23.97</v>
      </c>
    </row>
    <row r="1267" spans="1:10" x14ac:dyDescent="0.25">
      <c r="A1267" s="2">
        <v>45707</v>
      </c>
      <c r="B1267">
        <v>2025</v>
      </c>
      <c r="C1267" t="s">
        <v>37</v>
      </c>
      <c r="D1267">
        <v>2</v>
      </c>
      <c r="E1267" t="s">
        <v>23</v>
      </c>
      <c r="F1267" t="s">
        <v>19</v>
      </c>
      <c r="G1267" s="3">
        <v>231</v>
      </c>
      <c r="H1267" s="3">
        <v>69.55</v>
      </c>
      <c r="I1267" s="3">
        <v>16066.05</v>
      </c>
      <c r="J1267" s="3">
        <v>-8.75</v>
      </c>
    </row>
    <row r="1268" spans="1:10" x14ac:dyDescent="0.25">
      <c r="A1268" s="2">
        <v>45707</v>
      </c>
      <c r="B1268">
        <v>2025</v>
      </c>
      <c r="C1268" t="s">
        <v>37</v>
      </c>
      <c r="D1268">
        <v>2</v>
      </c>
      <c r="E1268" t="s">
        <v>23</v>
      </c>
      <c r="F1268" t="s">
        <v>20</v>
      </c>
      <c r="G1268" s="3">
        <v>113</v>
      </c>
      <c r="H1268" s="3">
        <v>165.85</v>
      </c>
      <c r="I1268" s="3">
        <v>18741.05</v>
      </c>
      <c r="J1268" s="3">
        <v>1.55</v>
      </c>
    </row>
    <row r="1269" spans="1:10" x14ac:dyDescent="0.25">
      <c r="A1269" s="2">
        <v>45707</v>
      </c>
      <c r="B1269">
        <v>2025</v>
      </c>
      <c r="C1269" t="s">
        <v>37</v>
      </c>
      <c r="D1269">
        <v>2</v>
      </c>
      <c r="E1269" t="s">
        <v>23</v>
      </c>
      <c r="F1269" t="s">
        <v>21</v>
      </c>
      <c r="G1269" s="3">
        <v>665</v>
      </c>
      <c r="H1269" s="3">
        <v>146.93</v>
      </c>
      <c r="I1269" s="3">
        <v>97708.45</v>
      </c>
      <c r="J1269" s="3">
        <v>3.21</v>
      </c>
    </row>
    <row r="1270" spans="1:10" x14ac:dyDescent="0.25">
      <c r="A1270" s="2">
        <v>45707</v>
      </c>
      <c r="B1270">
        <v>2025</v>
      </c>
      <c r="C1270" t="s">
        <v>37</v>
      </c>
      <c r="D1270">
        <v>2</v>
      </c>
      <c r="E1270" t="s">
        <v>23</v>
      </c>
      <c r="F1270" t="s">
        <v>22</v>
      </c>
      <c r="G1270" s="3">
        <v>770</v>
      </c>
      <c r="H1270" s="3">
        <v>170.73</v>
      </c>
      <c r="I1270" s="3">
        <v>131462.1</v>
      </c>
      <c r="J1270" s="3">
        <v>-8.2100000000000009</v>
      </c>
    </row>
    <row r="1271" spans="1:10" x14ac:dyDescent="0.25">
      <c r="A1271" s="2">
        <v>45707</v>
      </c>
      <c r="B1271">
        <v>2025</v>
      </c>
      <c r="C1271" t="s">
        <v>37</v>
      </c>
      <c r="D1271">
        <v>2</v>
      </c>
      <c r="E1271" t="s">
        <v>23</v>
      </c>
      <c r="F1271" t="s">
        <v>12</v>
      </c>
      <c r="G1271" s="3">
        <v>240</v>
      </c>
      <c r="H1271" s="3">
        <v>58.09</v>
      </c>
      <c r="I1271" s="3">
        <v>13941.6</v>
      </c>
      <c r="J1271" s="3">
        <v>24.83</v>
      </c>
    </row>
    <row r="1272" spans="1:10" x14ac:dyDescent="0.25">
      <c r="A1272" s="2">
        <v>45707</v>
      </c>
      <c r="B1272">
        <v>2025</v>
      </c>
      <c r="C1272" t="s">
        <v>37</v>
      </c>
      <c r="D1272">
        <v>2</v>
      </c>
      <c r="E1272" t="s">
        <v>13</v>
      </c>
      <c r="F1272" t="s">
        <v>12</v>
      </c>
      <c r="G1272" s="3">
        <v>724</v>
      </c>
      <c r="H1272" s="3">
        <v>122.81</v>
      </c>
      <c r="I1272" s="3">
        <v>88914.44</v>
      </c>
      <c r="J1272" s="3">
        <v>-2.84</v>
      </c>
    </row>
    <row r="1273" spans="1:10" x14ac:dyDescent="0.25">
      <c r="A1273" s="2">
        <v>45707</v>
      </c>
      <c r="B1273">
        <v>2025</v>
      </c>
      <c r="C1273" t="s">
        <v>37</v>
      </c>
      <c r="D1273">
        <v>2</v>
      </c>
      <c r="E1273" t="s">
        <v>13</v>
      </c>
      <c r="F1273" t="s">
        <v>25</v>
      </c>
      <c r="G1273" s="3">
        <v>671</v>
      </c>
      <c r="H1273" s="3">
        <v>86.87</v>
      </c>
      <c r="I1273" s="3">
        <v>58289.77</v>
      </c>
      <c r="J1273" s="3">
        <v>9.74</v>
      </c>
    </row>
    <row r="1274" spans="1:10" x14ac:dyDescent="0.25">
      <c r="A1274" s="2">
        <v>45707</v>
      </c>
      <c r="B1274">
        <v>2025</v>
      </c>
      <c r="C1274" t="s">
        <v>37</v>
      </c>
      <c r="D1274">
        <v>2</v>
      </c>
      <c r="E1274" t="s">
        <v>26</v>
      </c>
      <c r="F1274" t="s">
        <v>22</v>
      </c>
      <c r="G1274" s="3">
        <v>348</v>
      </c>
      <c r="H1274" s="3">
        <v>188.04</v>
      </c>
      <c r="I1274" s="3">
        <v>65437.919999999998</v>
      </c>
      <c r="J1274" s="3">
        <v>17.05</v>
      </c>
    </row>
    <row r="1275" spans="1:10" x14ac:dyDescent="0.25">
      <c r="A1275" s="2">
        <v>45707</v>
      </c>
      <c r="B1275">
        <v>2025</v>
      </c>
      <c r="C1275" t="s">
        <v>37</v>
      </c>
      <c r="D1275">
        <v>2</v>
      </c>
      <c r="E1275" t="s">
        <v>11</v>
      </c>
      <c r="F1275" t="s">
        <v>12</v>
      </c>
      <c r="G1275" s="3">
        <v>494</v>
      </c>
      <c r="H1275" s="3">
        <v>148.94999999999999</v>
      </c>
      <c r="I1275" s="3">
        <v>73581.3</v>
      </c>
      <c r="J1275" s="3">
        <v>-4.16</v>
      </c>
    </row>
    <row r="1276" spans="1:10" x14ac:dyDescent="0.25">
      <c r="A1276" s="2">
        <v>45707</v>
      </c>
      <c r="B1276">
        <v>2025</v>
      </c>
      <c r="C1276" t="s">
        <v>37</v>
      </c>
      <c r="D1276">
        <v>2</v>
      </c>
      <c r="E1276" t="s">
        <v>11</v>
      </c>
      <c r="F1276" t="s">
        <v>24</v>
      </c>
      <c r="G1276" s="3">
        <v>569</v>
      </c>
      <c r="H1276" s="3">
        <v>125.93</v>
      </c>
      <c r="I1276" s="3">
        <v>71654.17</v>
      </c>
      <c r="J1276" s="3">
        <v>-7.59</v>
      </c>
    </row>
    <row r="1277" spans="1:10" x14ac:dyDescent="0.25">
      <c r="A1277" s="2">
        <v>45707</v>
      </c>
      <c r="B1277">
        <v>2025</v>
      </c>
      <c r="C1277" t="s">
        <v>37</v>
      </c>
      <c r="D1277">
        <v>2</v>
      </c>
      <c r="E1277" t="s">
        <v>11</v>
      </c>
      <c r="F1277" t="s">
        <v>14</v>
      </c>
      <c r="G1277" s="3">
        <v>286</v>
      </c>
      <c r="H1277" s="3">
        <v>58.68</v>
      </c>
      <c r="I1277" s="3">
        <v>16782.48</v>
      </c>
      <c r="J1277" s="3">
        <v>1.99</v>
      </c>
    </row>
    <row r="1278" spans="1:10" x14ac:dyDescent="0.25">
      <c r="A1278" s="2">
        <v>45707</v>
      </c>
      <c r="B1278">
        <v>2025</v>
      </c>
      <c r="C1278" t="s">
        <v>37</v>
      </c>
      <c r="D1278">
        <v>2</v>
      </c>
      <c r="E1278" t="s">
        <v>11</v>
      </c>
      <c r="F1278" t="s">
        <v>15</v>
      </c>
      <c r="G1278" s="3">
        <v>765</v>
      </c>
      <c r="H1278" s="3">
        <v>150.38</v>
      </c>
      <c r="I1278" s="3">
        <v>115040.7</v>
      </c>
      <c r="J1278" s="3">
        <v>14.83</v>
      </c>
    </row>
    <row r="1279" spans="1:10" x14ac:dyDescent="0.25">
      <c r="A1279" s="2">
        <v>45707</v>
      </c>
      <c r="B1279">
        <v>2025</v>
      </c>
      <c r="C1279" t="s">
        <v>37</v>
      </c>
      <c r="D1279">
        <v>2</v>
      </c>
      <c r="E1279" t="s">
        <v>11</v>
      </c>
      <c r="F1279" t="s">
        <v>16</v>
      </c>
      <c r="G1279" s="3">
        <v>385</v>
      </c>
      <c r="H1279" s="3">
        <v>33.85</v>
      </c>
      <c r="I1279" s="3">
        <v>13032.25</v>
      </c>
      <c r="J1279" s="3">
        <v>12.85</v>
      </c>
    </row>
    <row r="1280" spans="1:10" x14ac:dyDescent="0.25">
      <c r="A1280" s="2">
        <v>45707</v>
      </c>
      <c r="B1280">
        <v>2025</v>
      </c>
      <c r="C1280" t="s">
        <v>37</v>
      </c>
      <c r="D1280">
        <v>2</v>
      </c>
      <c r="E1280" t="s">
        <v>11</v>
      </c>
      <c r="F1280" t="s">
        <v>17</v>
      </c>
      <c r="G1280" s="3">
        <v>445</v>
      </c>
      <c r="H1280" s="3">
        <v>99.89</v>
      </c>
      <c r="I1280" s="3">
        <v>44451.05</v>
      </c>
      <c r="J1280" s="3">
        <v>3.03</v>
      </c>
    </row>
    <row r="1281" spans="1:10" x14ac:dyDescent="0.25">
      <c r="A1281" s="2">
        <v>45707</v>
      </c>
      <c r="B1281">
        <v>2025</v>
      </c>
      <c r="C1281" t="s">
        <v>37</v>
      </c>
      <c r="D1281">
        <v>2</v>
      </c>
      <c r="E1281" t="s">
        <v>11</v>
      </c>
      <c r="F1281" t="s">
        <v>18</v>
      </c>
      <c r="G1281" s="3">
        <v>367</v>
      </c>
      <c r="H1281" s="3">
        <v>163.32</v>
      </c>
      <c r="I1281" s="3">
        <v>59938.44</v>
      </c>
      <c r="J1281" s="3">
        <v>-4.12</v>
      </c>
    </row>
    <row r="1282" spans="1:10" x14ac:dyDescent="0.25">
      <c r="A1282" s="2">
        <v>45707</v>
      </c>
      <c r="B1282">
        <v>2025</v>
      </c>
      <c r="C1282" t="s">
        <v>37</v>
      </c>
      <c r="D1282">
        <v>2</v>
      </c>
      <c r="E1282" t="s">
        <v>11</v>
      </c>
      <c r="F1282" t="s">
        <v>19</v>
      </c>
      <c r="G1282" s="3">
        <v>554</v>
      </c>
      <c r="H1282" s="3">
        <v>67.53</v>
      </c>
      <c r="I1282" s="3">
        <v>37411.620000000003</v>
      </c>
      <c r="J1282" s="3">
        <v>22.56</v>
      </c>
    </row>
    <row r="1283" spans="1:10" x14ac:dyDescent="0.25">
      <c r="A1283" s="2">
        <v>45707</v>
      </c>
      <c r="B1283">
        <v>2025</v>
      </c>
      <c r="C1283" t="s">
        <v>37</v>
      </c>
      <c r="D1283">
        <v>2</v>
      </c>
      <c r="E1283" t="s">
        <v>11</v>
      </c>
      <c r="F1283" t="s">
        <v>20</v>
      </c>
      <c r="G1283" s="3">
        <v>271</v>
      </c>
      <c r="H1283" s="3">
        <v>60.51</v>
      </c>
      <c r="I1283" s="3">
        <v>16398.21</v>
      </c>
      <c r="J1283" s="3">
        <v>6.15</v>
      </c>
    </row>
    <row r="1284" spans="1:10" x14ac:dyDescent="0.25">
      <c r="A1284" s="2">
        <v>45707</v>
      </c>
      <c r="B1284">
        <v>2025</v>
      </c>
      <c r="C1284" t="s">
        <v>37</v>
      </c>
      <c r="D1284">
        <v>2</v>
      </c>
      <c r="E1284" t="s">
        <v>11</v>
      </c>
      <c r="F1284" t="s">
        <v>21</v>
      </c>
      <c r="G1284" s="3">
        <v>205</v>
      </c>
      <c r="H1284" s="3">
        <v>103.36</v>
      </c>
      <c r="I1284" s="3">
        <v>21188.799999999999</v>
      </c>
      <c r="J1284" s="3">
        <v>-3.86</v>
      </c>
    </row>
    <row r="1285" spans="1:10" x14ac:dyDescent="0.25">
      <c r="A1285" s="2">
        <v>45707</v>
      </c>
      <c r="B1285">
        <v>2025</v>
      </c>
      <c r="C1285" t="s">
        <v>37</v>
      </c>
      <c r="D1285">
        <v>2</v>
      </c>
      <c r="E1285" t="s">
        <v>11</v>
      </c>
      <c r="F1285" t="s">
        <v>22</v>
      </c>
      <c r="G1285" s="3">
        <v>635</v>
      </c>
      <c r="H1285" s="3">
        <v>139.15</v>
      </c>
      <c r="I1285" s="3">
        <v>88360.25</v>
      </c>
      <c r="J1285" s="3">
        <v>17.600000000000001</v>
      </c>
    </row>
    <row r="1286" spans="1:10" x14ac:dyDescent="0.25">
      <c r="A1286" s="2">
        <v>45707</v>
      </c>
      <c r="B1286">
        <v>2025</v>
      </c>
      <c r="C1286" t="s">
        <v>37</v>
      </c>
      <c r="D1286">
        <v>2</v>
      </c>
      <c r="E1286" t="s">
        <v>26</v>
      </c>
      <c r="F1286" t="s">
        <v>25</v>
      </c>
      <c r="G1286" s="3">
        <v>622</v>
      </c>
      <c r="H1286" s="3">
        <v>174.44</v>
      </c>
      <c r="I1286" s="3">
        <v>108501.68</v>
      </c>
      <c r="J1286" s="3">
        <v>24.91</v>
      </c>
    </row>
    <row r="1287" spans="1:10" x14ac:dyDescent="0.25">
      <c r="A1287" s="2">
        <v>45707</v>
      </c>
      <c r="B1287">
        <v>2025</v>
      </c>
      <c r="C1287" t="s">
        <v>37</v>
      </c>
      <c r="D1287">
        <v>2</v>
      </c>
      <c r="E1287" t="s">
        <v>26</v>
      </c>
      <c r="F1287" t="s">
        <v>12</v>
      </c>
      <c r="G1287" s="3">
        <v>389</v>
      </c>
      <c r="H1287" s="3">
        <v>159.26</v>
      </c>
      <c r="I1287" s="3">
        <v>61952.14</v>
      </c>
      <c r="J1287" s="3">
        <v>14.91</v>
      </c>
    </row>
    <row r="1288" spans="1:10" x14ac:dyDescent="0.25">
      <c r="A1288" s="2">
        <v>45707</v>
      </c>
      <c r="B1288">
        <v>2025</v>
      </c>
      <c r="C1288" t="s">
        <v>37</v>
      </c>
      <c r="D1288">
        <v>2</v>
      </c>
      <c r="E1288" t="s">
        <v>26</v>
      </c>
      <c r="F1288" t="s">
        <v>24</v>
      </c>
      <c r="G1288" s="3">
        <v>210</v>
      </c>
      <c r="H1288" s="3">
        <v>97.82</v>
      </c>
      <c r="I1288" s="3">
        <v>20542.2</v>
      </c>
      <c r="J1288" s="3">
        <v>-13.75</v>
      </c>
    </row>
    <row r="1289" spans="1:10" x14ac:dyDescent="0.25">
      <c r="A1289" s="2">
        <v>45707</v>
      </c>
      <c r="B1289">
        <v>2025</v>
      </c>
      <c r="C1289" t="s">
        <v>37</v>
      </c>
      <c r="D1289">
        <v>2</v>
      </c>
      <c r="E1289" t="s">
        <v>26</v>
      </c>
      <c r="F1289" t="s">
        <v>14</v>
      </c>
      <c r="G1289" s="3">
        <v>624</v>
      </c>
      <c r="H1289" s="3">
        <v>67.52</v>
      </c>
      <c r="I1289" s="3">
        <v>42132.480000000003</v>
      </c>
      <c r="J1289" s="3">
        <v>1.61</v>
      </c>
    </row>
    <row r="1290" spans="1:10" x14ac:dyDescent="0.25">
      <c r="A1290" s="2">
        <v>45707</v>
      </c>
      <c r="B1290">
        <v>2025</v>
      </c>
      <c r="C1290" t="s">
        <v>37</v>
      </c>
      <c r="D1290">
        <v>2</v>
      </c>
      <c r="E1290" t="s">
        <v>26</v>
      </c>
      <c r="F1290" t="s">
        <v>15</v>
      </c>
      <c r="G1290" s="3">
        <v>657</v>
      </c>
      <c r="H1290" s="3">
        <v>63.81</v>
      </c>
      <c r="I1290" s="3">
        <v>41923.17</v>
      </c>
      <c r="J1290" s="3">
        <v>7.29</v>
      </c>
    </row>
    <row r="1291" spans="1:10" x14ac:dyDescent="0.25">
      <c r="A1291" s="2">
        <v>45707</v>
      </c>
      <c r="B1291">
        <v>2025</v>
      </c>
      <c r="C1291" t="s">
        <v>37</v>
      </c>
      <c r="D1291">
        <v>2</v>
      </c>
      <c r="E1291" t="s">
        <v>26</v>
      </c>
      <c r="F1291" t="s">
        <v>16</v>
      </c>
      <c r="G1291" s="3">
        <v>169</v>
      </c>
      <c r="H1291" s="3">
        <v>174.46</v>
      </c>
      <c r="I1291" s="3">
        <v>29483.74</v>
      </c>
      <c r="J1291" s="3">
        <v>16.350000000000001</v>
      </c>
    </row>
    <row r="1292" spans="1:10" x14ac:dyDescent="0.25">
      <c r="A1292" s="2">
        <v>45707</v>
      </c>
      <c r="B1292">
        <v>2025</v>
      </c>
      <c r="C1292" t="s">
        <v>37</v>
      </c>
      <c r="D1292">
        <v>2</v>
      </c>
      <c r="E1292" t="s">
        <v>26</v>
      </c>
      <c r="F1292" t="s">
        <v>17</v>
      </c>
      <c r="G1292" s="3">
        <v>266</v>
      </c>
      <c r="H1292" s="3">
        <v>181.63</v>
      </c>
      <c r="I1292" s="3">
        <v>48313.58</v>
      </c>
      <c r="J1292" s="3">
        <v>20.52</v>
      </c>
    </row>
    <row r="1293" spans="1:10" x14ac:dyDescent="0.25">
      <c r="A1293" s="2">
        <v>45707</v>
      </c>
      <c r="B1293">
        <v>2025</v>
      </c>
      <c r="C1293" t="s">
        <v>37</v>
      </c>
      <c r="D1293">
        <v>2</v>
      </c>
      <c r="E1293" t="s">
        <v>26</v>
      </c>
      <c r="F1293" t="s">
        <v>18</v>
      </c>
      <c r="G1293" s="3">
        <v>793</v>
      </c>
      <c r="H1293" s="3">
        <v>152.52000000000001</v>
      </c>
      <c r="I1293" s="3">
        <v>120948.36</v>
      </c>
      <c r="J1293" s="3">
        <v>2.46</v>
      </c>
    </row>
    <row r="1294" spans="1:10" x14ac:dyDescent="0.25">
      <c r="A1294" s="2">
        <v>45707</v>
      </c>
      <c r="B1294">
        <v>2025</v>
      </c>
      <c r="C1294" t="s">
        <v>37</v>
      </c>
      <c r="D1294">
        <v>2</v>
      </c>
      <c r="E1294" t="s">
        <v>26</v>
      </c>
      <c r="F1294" t="s">
        <v>19</v>
      </c>
      <c r="G1294" s="3">
        <v>126</v>
      </c>
      <c r="H1294" s="3">
        <v>168.57</v>
      </c>
      <c r="I1294" s="3">
        <v>21239.82</v>
      </c>
      <c r="J1294" s="3">
        <v>18.79</v>
      </c>
    </row>
    <row r="1295" spans="1:10" x14ac:dyDescent="0.25">
      <c r="A1295" s="2">
        <v>45707</v>
      </c>
      <c r="B1295">
        <v>2025</v>
      </c>
      <c r="C1295" t="s">
        <v>37</v>
      </c>
      <c r="D1295">
        <v>2</v>
      </c>
      <c r="E1295" t="s">
        <v>26</v>
      </c>
      <c r="F1295" t="s">
        <v>20</v>
      </c>
      <c r="G1295" s="3">
        <v>380</v>
      </c>
      <c r="H1295" s="3">
        <v>166.29</v>
      </c>
      <c r="I1295" s="3">
        <v>63190.2</v>
      </c>
      <c r="J1295" s="3">
        <v>13.27</v>
      </c>
    </row>
    <row r="1296" spans="1:10" x14ac:dyDescent="0.25">
      <c r="A1296" s="2">
        <v>45707</v>
      </c>
      <c r="B1296">
        <v>2025</v>
      </c>
      <c r="C1296" t="s">
        <v>37</v>
      </c>
      <c r="D1296">
        <v>2</v>
      </c>
      <c r="E1296" t="s">
        <v>26</v>
      </c>
      <c r="F1296" t="s">
        <v>21</v>
      </c>
      <c r="G1296" s="3">
        <v>599</v>
      </c>
      <c r="H1296" s="3">
        <v>37.090000000000003</v>
      </c>
      <c r="I1296" s="3">
        <v>22216.91</v>
      </c>
      <c r="J1296" s="3">
        <v>24.96</v>
      </c>
    </row>
    <row r="1297" spans="1:10" x14ac:dyDescent="0.25">
      <c r="A1297" s="2">
        <v>45707</v>
      </c>
      <c r="B1297">
        <v>2025</v>
      </c>
      <c r="C1297" t="s">
        <v>37</v>
      </c>
      <c r="D1297">
        <v>2</v>
      </c>
      <c r="E1297" t="s">
        <v>11</v>
      </c>
      <c r="F1297" t="s">
        <v>25</v>
      </c>
      <c r="G1297" s="3">
        <v>437</v>
      </c>
      <c r="H1297" s="3">
        <v>103.07</v>
      </c>
      <c r="I1297" s="3">
        <v>45041.59</v>
      </c>
      <c r="J1297" s="3">
        <v>24.33</v>
      </c>
    </row>
    <row r="1298" spans="1:10" x14ac:dyDescent="0.25">
      <c r="A1298" s="2">
        <v>45737</v>
      </c>
      <c r="B1298">
        <v>2025</v>
      </c>
      <c r="C1298" t="s">
        <v>27</v>
      </c>
      <c r="D1298">
        <v>3</v>
      </c>
      <c r="E1298" t="s">
        <v>13</v>
      </c>
      <c r="F1298" t="s">
        <v>22</v>
      </c>
      <c r="G1298" s="3">
        <v>448</v>
      </c>
      <c r="H1298" s="3">
        <v>55.86</v>
      </c>
      <c r="I1298" s="3">
        <v>25025.279999999999</v>
      </c>
      <c r="J1298" s="3">
        <v>-13.2</v>
      </c>
    </row>
    <row r="1299" spans="1:10" x14ac:dyDescent="0.25">
      <c r="A1299" s="2">
        <v>45737</v>
      </c>
      <c r="B1299">
        <v>2025</v>
      </c>
      <c r="C1299" t="s">
        <v>27</v>
      </c>
      <c r="D1299">
        <v>3</v>
      </c>
      <c r="E1299" t="s">
        <v>13</v>
      </c>
      <c r="F1299" t="s">
        <v>21</v>
      </c>
      <c r="G1299" s="3">
        <v>138</v>
      </c>
      <c r="H1299" s="3">
        <v>123.37</v>
      </c>
      <c r="I1299" s="3">
        <v>17025.060000000001</v>
      </c>
      <c r="J1299" s="3">
        <v>11.69</v>
      </c>
    </row>
    <row r="1300" spans="1:10" x14ac:dyDescent="0.25">
      <c r="A1300" s="2">
        <v>45737</v>
      </c>
      <c r="B1300">
        <v>2025</v>
      </c>
      <c r="C1300" t="s">
        <v>27</v>
      </c>
      <c r="D1300">
        <v>3</v>
      </c>
      <c r="E1300" t="s">
        <v>13</v>
      </c>
      <c r="F1300" t="s">
        <v>20</v>
      </c>
      <c r="G1300" s="3">
        <v>488</v>
      </c>
      <c r="H1300" s="3">
        <v>30.26</v>
      </c>
      <c r="I1300" s="3">
        <v>14766.88</v>
      </c>
      <c r="J1300" s="3">
        <v>1.74</v>
      </c>
    </row>
    <row r="1301" spans="1:10" x14ac:dyDescent="0.25">
      <c r="A1301" s="2">
        <v>45737</v>
      </c>
      <c r="B1301">
        <v>2025</v>
      </c>
      <c r="C1301" t="s">
        <v>27</v>
      </c>
      <c r="D1301">
        <v>3</v>
      </c>
      <c r="E1301" t="s">
        <v>13</v>
      </c>
      <c r="F1301" t="s">
        <v>19</v>
      </c>
      <c r="G1301" s="3">
        <v>114</v>
      </c>
      <c r="H1301" s="3">
        <v>102.73</v>
      </c>
      <c r="I1301" s="3">
        <v>11711.22</v>
      </c>
      <c r="J1301" s="3">
        <v>-2.74</v>
      </c>
    </row>
    <row r="1302" spans="1:10" x14ac:dyDescent="0.25">
      <c r="A1302" s="2">
        <v>45737</v>
      </c>
      <c r="B1302">
        <v>2025</v>
      </c>
      <c r="C1302" t="s">
        <v>27</v>
      </c>
      <c r="D1302">
        <v>3</v>
      </c>
      <c r="E1302" t="s">
        <v>13</v>
      </c>
      <c r="F1302" t="s">
        <v>14</v>
      </c>
      <c r="G1302" s="3">
        <v>425</v>
      </c>
      <c r="H1302" s="3">
        <v>34.89</v>
      </c>
      <c r="I1302" s="3">
        <v>14828.25</v>
      </c>
      <c r="J1302" s="3">
        <v>4.38</v>
      </c>
    </row>
    <row r="1303" spans="1:10" x14ac:dyDescent="0.25">
      <c r="A1303" s="2">
        <v>45737</v>
      </c>
      <c r="B1303">
        <v>2025</v>
      </c>
      <c r="C1303" t="s">
        <v>27</v>
      </c>
      <c r="D1303">
        <v>3</v>
      </c>
      <c r="E1303" t="s">
        <v>13</v>
      </c>
      <c r="F1303" t="s">
        <v>17</v>
      </c>
      <c r="G1303" s="3">
        <v>473</v>
      </c>
      <c r="H1303" s="3">
        <v>74.650000000000006</v>
      </c>
      <c r="I1303" s="3">
        <v>35309.449999999997</v>
      </c>
      <c r="J1303" s="3">
        <v>-2.5299999999999998</v>
      </c>
    </row>
    <row r="1304" spans="1:10" x14ac:dyDescent="0.25">
      <c r="A1304" s="2">
        <v>45737</v>
      </c>
      <c r="B1304">
        <v>2025</v>
      </c>
      <c r="C1304" t="s">
        <v>27</v>
      </c>
      <c r="D1304">
        <v>3</v>
      </c>
      <c r="E1304" t="s">
        <v>13</v>
      </c>
      <c r="F1304" t="s">
        <v>16</v>
      </c>
      <c r="G1304" s="3">
        <v>239</v>
      </c>
      <c r="H1304" s="3">
        <v>44.69</v>
      </c>
      <c r="I1304" s="3">
        <v>10680.91</v>
      </c>
      <c r="J1304" s="3">
        <v>8.23</v>
      </c>
    </row>
    <row r="1305" spans="1:10" x14ac:dyDescent="0.25">
      <c r="A1305" s="2">
        <v>45737</v>
      </c>
      <c r="B1305">
        <v>2025</v>
      </c>
      <c r="C1305" t="s">
        <v>27</v>
      </c>
      <c r="D1305">
        <v>3</v>
      </c>
      <c r="E1305" t="s">
        <v>13</v>
      </c>
      <c r="F1305" t="s">
        <v>15</v>
      </c>
      <c r="G1305" s="3">
        <v>424</v>
      </c>
      <c r="H1305" s="3">
        <v>147.19999999999999</v>
      </c>
      <c r="I1305" s="3">
        <v>62412.800000000003</v>
      </c>
      <c r="J1305" s="3">
        <v>9.69</v>
      </c>
    </row>
    <row r="1306" spans="1:10" x14ac:dyDescent="0.25">
      <c r="A1306" s="2">
        <v>45737</v>
      </c>
      <c r="B1306">
        <v>2025</v>
      </c>
      <c r="C1306" t="s">
        <v>27</v>
      </c>
      <c r="D1306">
        <v>3</v>
      </c>
      <c r="E1306" t="s">
        <v>13</v>
      </c>
      <c r="F1306" t="s">
        <v>25</v>
      </c>
      <c r="G1306" s="3">
        <v>552</v>
      </c>
      <c r="H1306" s="3">
        <v>171.22</v>
      </c>
      <c r="I1306" s="3">
        <v>94513.44</v>
      </c>
      <c r="J1306" s="3">
        <v>24.58</v>
      </c>
    </row>
    <row r="1307" spans="1:10" x14ac:dyDescent="0.25">
      <c r="A1307" s="2">
        <v>45737</v>
      </c>
      <c r="B1307">
        <v>2025</v>
      </c>
      <c r="C1307" t="s">
        <v>27</v>
      </c>
      <c r="D1307">
        <v>3</v>
      </c>
      <c r="E1307" t="s">
        <v>13</v>
      </c>
      <c r="F1307" t="s">
        <v>18</v>
      </c>
      <c r="G1307" s="3">
        <v>161</v>
      </c>
      <c r="H1307" s="3">
        <v>51.36</v>
      </c>
      <c r="I1307" s="3">
        <v>8268.9599999999991</v>
      </c>
      <c r="J1307" s="3">
        <v>20.02</v>
      </c>
    </row>
    <row r="1308" spans="1:10" x14ac:dyDescent="0.25">
      <c r="A1308" s="2">
        <v>45737</v>
      </c>
      <c r="B1308">
        <v>2025</v>
      </c>
      <c r="C1308" t="s">
        <v>27</v>
      </c>
      <c r="D1308">
        <v>3</v>
      </c>
      <c r="E1308" t="s">
        <v>23</v>
      </c>
      <c r="F1308" t="s">
        <v>12</v>
      </c>
      <c r="G1308" s="3">
        <v>442</v>
      </c>
      <c r="H1308" s="3">
        <v>189.28</v>
      </c>
      <c r="I1308" s="3">
        <v>83661.759999999995</v>
      </c>
      <c r="J1308" s="3">
        <v>-14.37</v>
      </c>
    </row>
    <row r="1309" spans="1:10" x14ac:dyDescent="0.25">
      <c r="A1309" s="2">
        <v>45737</v>
      </c>
      <c r="B1309">
        <v>2025</v>
      </c>
      <c r="C1309" t="s">
        <v>27</v>
      </c>
      <c r="D1309">
        <v>3</v>
      </c>
      <c r="E1309" t="s">
        <v>23</v>
      </c>
      <c r="F1309" t="s">
        <v>17</v>
      </c>
      <c r="G1309" s="3">
        <v>537</v>
      </c>
      <c r="H1309" s="3">
        <v>55.36</v>
      </c>
      <c r="I1309" s="3">
        <v>29728.32</v>
      </c>
      <c r="J1309" s="3">
        <v>23.06</v>
      </c>
    </row>
    <row r="1310" spans="1:10" x14ac:dyDescent="0.25">
      <c r="A1310" s="2">
        <v>45737</v>
      </c>
      <c r="B1310">
        <v>2025</v>
      </c>
      <c r="C1310" t="s">
        <v>27</v>
      </c>
      <c r="D1310">
        <v>3</v>
      </c>
      <c r="E1310" t="s">
        <v>23</v>
      </c>
      <c r="F1310" t="s">
        <v>14</v>
      </c>
      <c r="G1310" s="3">
        <v>477</v>
      </c>
      <c r="H1310" s="3">
        <v>143.66999999999999</v>
      </c>
      <c r="I1310" s="3">
        <v>68530.59</v>
      </c>
      <c r="J1310" s="3">
        <v>11.32</v>
      </c>
    </row>
    <row r="1311" spans="1:10" x14ac:dyDescent="0.25">
      <c r="A1311" s="2">
        <v>45737</v>
      </c>
      <c r="B1311">
        <v>2025</v>
      </c>
      <c r="C1311" t="s">
        <v>27</v>
      </c>
      <c r="D1311">
        <v>3</v>
      </c>
      <c r="E1311" t="s">
        <v>23</v>
      </c>
      <c r="F1311" t="s">
        <v>15</v>
      </c>
      <c r="G1311" s="3">
        <v>276</v>
      </c>
      <c r="H1311" s="3">
        <v>163.95</v>
      </c>
      <c r="I1311" s="3">
        <v>45250.2</v>
      </c>
      <c r="J1311" s="3">
        <v>-10.07</v>
      </c>
    </row>
    <row r="1312" spans="1:10" x14ac:dyDescent="0.25">
      <c r="A1312" s="2">
        <v>45737</v>
      </c>
      <c r="B1312">
        <v>2025</v>
      </c>
      <c r="C1312" t="s">
        <v>27</v>
      </c>
      <c r="D1312">
        <v>3</v>
      </c>
      <c r="E1312" t="s">
        <v>23</v>
      </c>
      <c r="F1312" t="s">
        <v>16</v>
      </c>
      <c r="G1312" s="3">
        <v>757</v>
      </c>
      <c r="H1312" s="3">
        <v>94.91</v>
      </c>
      <c r="I1312" s="3">
        <v>71846.87</v>
      </c>
      <c r="J1312" s="3">
        <v>5.55</v>
      </c>
    </row>
    <row r="1313" spans="1:10" x14ac:dyDescent="0.25">
      <c r="A1313" s="2">
        <v>45737</v>
      </c>
      <c r="B1313">
        <v>2025</v>
      </c>
      <c r="C1313" t="s">
        <v>27</v>
      </c>
      <c r="D1313">
        <v>3</v>
      </c>
      <c r="E1313" t="s">
        <v>23</v>
      </c>
      <c r="F1313" t="s">
        <v>18</v>
      </c>
      <c r="G1313" s="3">
        <v>278</v>
      </c>
      <c r="H1313" s="3">
        <v>111.83</v>
      </c>
      <c r="I1313" s="3">
        <v>31088.74</v>
      </c>
      <c r="J1313" s="3">
        <v>14.45</v>
      </c>
    </row>
    <row r="1314" spans="1:10" x14ac:dyDescent="0.25">
      <c r="A1314" s="2">
        <v>45737</v>
      </c>
      <c r="B1314">
        <v>2025</v>
      </c>
      <c r="C1314" t="s">
        <v>27</v>
      </c>
      <c r="D1314">
        <v>3</v>
      </c>
      <c r="E1314" t="s">
        <v>23</v>
      </c>
      <c r="F1314" t="s">
        <v>19</v>
      </c>
      <c r="G1314" s="3">
        <v>237</v>
      </c>
      <c r="H1314" s="3">
        <v>108.13</v>
      </c>
      <c r="I1314" s="3">
        <v>25626.81</v>
      </c>
      <c r="J1314" s="3">
        <v>10.79</v>
      </c>
    </row>
    <row r="1315" spans="1:10" x14ac:dyDescent="0.25">
      <c r="A1315" s="2">
        <v>45737</v>
      </c>
      <c r="B1315">
        <v>2025</v>
      </c>
      <c r="C1315" t="s">
        <v>27</v>
      </c>
      <c r="D1315">
        <v>3</v>
      </c>
      <c r="E1315" t="s">
        <v>23</v>
      </c>
      <c r="F1315" t="s">
        <v>20</v>
      </c>
      <c r="G1315" s="3">
        <v>181</v>
      </c>
      <c r="H1315" s="3">
        <v>194.64</v>
      </c>
      <c r="I1315" s="3">
        <v>35229.839999999997</v>
      </c>
      <c r="J1315" s="3">
        <v>22.29</v>
      </c>
    </row>
    <row r="1316" spans="1:10" x14ac:dyDescent="0.25">
      <c r="A1316" s="2">
        <v>45737</v>
      </c>
      <c r="B1316">
        <v>2025</v>
      </c>
      <c r="C1316" t="s">
        <v>27</v>
      </c>
      <c r="D1316">
        <v>3</v>
      </c>
      <c r="E1316" t="s">
        <v>23</v>
      </c>
      <c r="F1316" t="s">
        <v>21</v>
      </c>
      <c r="G1316" s="3">
        <v>721</v>
      </c>
      <c r="H1316" s="3">
        <v>70.290000000000006</v>
      </c>
      <c r="I1316" s="3">
        <v>50679.09</v>
      </c>
      <c r="J1316" s="3">
        <v>-9.73</v>
      </c>
    </row>
    <row r="1317" spans="1:10" x14ac:dyDescent="0.25">
      <c r="A1317" s="2">
        <v>45737</v>
      </c>
      <c r="B1317">
        <v>2025</v>
      </c>
      <c r="C1317" t="s">
        <v>27</v>
      </c>
      <c r="D1317">
        <v>3</v>
      </c>
      <c r="E1317" t="s">
        <v>23</v>
      </c>
      <c r="F1317" t="s">
        <v>22</v>
      </c>
      <c r="G1317" s="3">
        <v>169</v>
      </c>
      <c r="H1317" s="3">
        <v>53.35</v>
      </c>
      <c r="I1317" s="3">
        <v>9016.15</v>
      </c>
      <c r="J1317" s="3">
        <v>-3.85</v>
      </c>
    </row>
    <row r="1318" spans="1:10" x14ac:dyDescent="0.25">
      <c r="A1318" s="2">
        <v>45737</v>
      </c>
      <c r="B1318">
        <v>2025</v>
      </c>
      <c r="C1318" t="s">
        <v>27</v>
      </c>
      <c r="D1318">
        <v>3</v>
      </c>
      <c r="E1318" t="s">
        <v>23</v>
      </c>
      <c r="F1318" t="s">
        <v>25</v>
      </c>
      <c r="G1318" s="3">
        <v>461</v>
      </c>
      <c r="H1318" s="3">
        <v>108.34</v>
      </c>
      <c r="I1318" s="3">
        <v>49944.74</v>
      </c>
      <c r="J1318" s="3">
        <v>1.26</v>
      </c>
    </row>
    <row r="1319" spans="1:10" x14ac:dyDescent="0.25">
      <c r="A1319" s="2">
        <v>45737</v>
      </c>
      <c r="B1319">
        <v>2025</v>
      </c>
      <c r="C1319" t="s">
        <v>27</v>
      </c>
      <c r="D1319">
        <v>3</v>
      </c>
      <c r="E1319" t="s">
        <v>13</v>
      </c>
      <c r="F1319" t="s">
        <v>24</v>
      </c>
      <c r="G1319" s="3">
        <v>272</v>
      </c>
      <c r="H1319" s="3">
        <v>159.82</v>
      </c>
      <c r="I1319" s="3">
        <v>43471.040000000001</v>
      </c>
      <c r="J1319" s="3">
        <v>-11.94</v>
      </c>
    </row>
    <row r="1320" spans="1:10" x14ac:dyDescent="0.25">
      <c r="A1320" s="2">
        <v>45737</v>
      </c>
      <c r="B1320">
        <v>2025</v>
      </c>
      <c r="C1320" t="s">
        <v>27</v>
      </c>
      <c r="D1320">
        <v>3</v>
      </c>
      <c r="E1320" t="s">
        <v>23</v>
      </c>
      <c r="F1320" t="s">
        <v>24</v>
      </c>
      <c r="G1320" s="3">
        <v>131</v>
      </c>
      <c r="H1320" s="3">
        <v>104.76</v>
      </c>
      <c r="I1320" s="3">
        <v>13723.56</v>
      </c>
      <c r="J1320" s="3">
        <v>11.24</v>
      </c>
    </row>
    <row r="1321" spans="1:10" x14ac:dyDescent="0.25">
      <c r="A1321" s="2">
        <v>45737</v>
      </c>
      <c r="B1321">
        <v>2025</v>
      </c>
      <c r="C1321" t="s">
        <v>27</v>
      </c>
      <c r="D1321">
        <v>3</v>
      </c>
      <c r="E1321" t="s">
        <v>13</v>
      </c>
      <c r="F1321" t="s">
        <v>12</v>
      </c>
      <c r="G1321" s="3">
        <v>85</v>
      </c>
      <c r="H1321" s="3">
        <v>57.89</v>
      </c>
      <c r="I1321" s="3">
        <v>4920.6499999999996</v>
      </c>
      <c r="J1321" s="3">
        <v>17.36</v>
      </c>
    </row>
    <row r="1322" spans="1:10" x14ac:dyDescent="0.25">
      <c r="A1322" s="2">
        <v>45737</v>
      </c>
      <c r="B1322">
        <v>2025</v>
      </c>
      <c r="C1322" t="s">
        <v>27</v>
      </c>
      <c r="D1322">
        <v>3</v>
      </c>
      <c r="E1322" t="s">
        <v>26</v>
      </c>
      <c r="F1322" t="s">
        <v>25</v>
      </c>
      <c r="G1322" s="3">
        <v>98</v>
      </c>
      <c r="H1322" s="3">
        <v>83.67</v>
      </c>
      <c r="I1322" s="3">
        <v>8199.66</v>
      </c>
      <c r="J1322" s="3">
        <v>-2.9</v>
      </c>
    </row>
    <row r="1323" spans="1:10" x14ac:dyDescent="0.25">
      <c r="A1323" s="2">
        <v>45737</v>
      </c>
      <c r="B1323">
        <v>2025</v>
      </c>
      <c r="C1323" t="s">
        <v>27</v>
      </c>
      <c r="D1323">
        <v>3</v>
      </c>
      <c r="E1323" t="s">
        <v>26</v>
      </c>
      <c r="F1323" t="s">
        <v>22</v>
      </c>
      <c r="G1323" s="3">
        <v>617</v>
      </c>
      <c r="H1323" s="3">
        <v>43.34</v>
      </c>
      <c r="I1323" s="3">
        <v>26740.78</v>
      </c>
      <c r="J1323" s="3">
        <v>-4.74</v>
      </c>
    </row>
    <row r="1324" spans="1:10" x14ac:dyDescent="0.25">
      <c r="A1324" s="2">
        <v>45737</v>
      </c>
      <c r="B1324">
        <v>2025</v>
      </c>
      <c r="C1324" t="s">
        <v>27</v>
      </c>
      <c r="D1324">
        <v>3</v>
      </c>
      <c r="E1324" t="s">
        <v>11</v>
      </c>
      <c r="F1324" t="s">
        <v>24</v>
      </c>
      <c r="G1324" s="3">
        <v>167</v>
      </c>
      <c r="H1324" s="3">
        <v>143.43</v>
      </c>
      <c r="I1324" s="3">
        <v>23952.81</v>
      </c>
      <c r="J1324" s="3">
        <v>21.41</v>
      </c>
    </row>
    <row r="1325" spans="1:10" x14ac:dyDescent="0.25">
      <c r="A1325" s="2">
        <v>45737</v>
      </c>
      <c r="B1325">
        <v>2025</v>
      </c>
      <c r="C1325" t="s">
        <v>27</v>
      </c>
      <c r="D1325">
        <v>3</v>
      </c>
      <c r="E1325" t="s">
        <v>11</v>
      </c>
      <c r="F1325" t="s">
        <v>14</v>
      </c>
      <c r="G1325" s="3">
        <v>205</v>
      </c>
      <c r="H1325" s="3">
        <v>107.93</v>
      </c>
      <c r="I1325" s="3">
        <v>22125.65</v>
      </c>
      <c r="J1325" s="3">
        <v>1.08</v>
      </c>
    </row>
    <row r="1326" spans="1:10" x14ac:dyDescent="0.25">
      <c r="A1326" s="2">
        <v>45737</v>
      </c>
      <c r="B1326">
        <v>2025</v>
      </c>
      <c r="C1326" t="s">
        <v>27</v>
      </c>
      <c r="D1326">
        <v>3</v>
      </c>
      <c r="E1326" t="s">
        <v>11</v>
      </c>
      <c r="F1326" t="s">
        <v>15</v>
      </c>
      <c r="G1326" s="3">
        <v>791</v>
      </c>
      <c r="H1326" s="3">
        <v>135.66</v>
      </c>
      <c r="I1326" s="3">
        <v>107307.06</v>
      </c>
      <c r="J1326" s="3">
        <v>-11.86</v>
      </c>
    </row>
    <row r="1327" spans="1:10" x14ac:dyDescent="0.25">
      <c r="A1327" s="2">
        <v>45737</v>
      </c>
      <c r="B1327">
        <v>2025</v>
      </c>
      <c r="C1327" t="s">
        <v>27</v>
      </c>
      <c r="D1327">
        <v>3</v>
      </c>
      <c r="E1327" t="s">
        <v>11</v>
      </c>
      <c r="F1327" t="s">
        <v>16</v>
      </c>
      <c r="G1327" s="3">
        <v>636</v>
      </c>
      <c r="H1327" s="3">
        <v>126.71</v>
      </c>
      <c r="I1327" s="3">
        <v>80587.56</v>
      </c>
      <c r="J1327" s="3">
        <v>-0.8</v>
      </c>
    </row>
    <row r="1328" spans="1:10" x14ac:dyDescent="0.25">
      <c r="A1328" s="2">
        <v>45737</v>
      </c>
      <c r="B1328">
        <v>2025</v>
      </c>
      <c r="C1328" t="s">
        <v>27</v>
      </c>
      <c r="D1328">
        <v>3</v>
      </c>
      <c r="E1328" t="s">
        <v>11</v>
      </c>
      <c r="F1328" t="s">
        <v>17</v>
      </c>
      <c r="G1328" s="3">
        <v>199</v>
      </c>
      <c r="H1328" s="3">
        <v>146.47999999999999</v>
      </c>
      <c r="I1328" s="3">
        <v>29149.52</v>
      </c>
      <c r="J1328" s="3">
        <v>-12.34</v>
      </c>
    </row>
    <row r="1329" spans="1:10" x14ac:dyDescent="0.25">
      <c r="A1329" s="2">
        <v>45737</v>
      </c>
      <c r="B1329">
        <v>2025</v>
      </c>
      <c r="C1329" t="s">
        <v>27</v>
      </c>
      <c r="D1329">
        <v>3</v>
      </c>
      <c r="E1329" t="s">
        <v>11</v>
      </c>
      <c r="F1329" t="s">
        <v>18</v>
      </c>
      <c r="G1329" s="3">
        <v>770</v>
      </c>
      <c r="H1329" s="3">
        <v>129.22999999999999</v>
      </c>
      <c r="I1329" s="3">
        <v>99507.1</v>
      </c>
      <c r="J1329" s="3">
        <v>20.239999999999998</v>
      </c>
    </row>
    <row r="1330" spans="1:10" x14ac:dyDescent="0.25">
      <c r="A1330" s="2">
        <v>45737</v>
      </c>
      <c r="B1330">
        <v>2025</v>
      </c>
      <c r="C1330" t="s">
        <v>27</v>
      </c>
      <c r="D1330">
        <v>3</v>
      </c>
      <c r="E1330" t="s">
        <v>11</v>
      </c>
      <c r="F1330" t="s">
        <v>19</v>
      </c>
      <c r="G1330" s="3">
        <v>193</v>
      </c>
      <c r="H1330" s="3">
        <v>144.32</v>
      </c>
      <c r="I1330" s="3">
        <v>27853.759999999998</v>
      </c>
      <c r="J1330" s="3">
        <v>8.8699999999999992</v>
      </c>
    </row>
    <row r="1331" spans="1:10" x14ac:dyDescent="0.25">
      <c r="A1331" s="2">
        <v>45737</v>
      </c>
      <c r="B1331">
        <v>2025</v>
      </c>
      <c r="C1331" t="s">
        <v>27</v>
      </c>
      <c r="D1331">
        <v>3</v>
      </c>
      <c r="E1331" t="s">
        <v>11</v>
      </c>
      <c r="F1331" t="s">
        <v>20</v>
      </c>
      <c r="G1331" s="3">
        <v>94</v>
      </c>
      <c r="H1331" s="3">
        <v>195.71</v>
      </c>
      <c r="I1331" s="3">
        <v>18396.740000000002</v>
      </c>
      <c r="J1331" s="3">
        <v>12.34</v>
      </c>
    </row>
    <row r="1332" spans="1:10" x14ac:dyDescent="0.25">
      <c r="A1332" s="2">
        <v>45737</v>
      </c>
      <c r="B1332">
        <v>2025</v>
      </c>
      <c r="C1332" t="s">
        <v>27</v>
      </c>
      <c r="D1332">
        <v>3</v>
      </c>
      <c r="E1332" t="s">
        <v>11</v>
      </c>
      <c r="F1332" t="s">
        <v>21</v>
      </c>
      <c r="G1332" s="3">
        <v>204</v>
      </c>
      <c r="H1332" s="3">
        <v>152.74</v>
      </c>
      <c r="I1332" s="3">
        <v>31158.959999999999</v>
      </c>
      <c r="J1332" s="3">
        <v>-3.54</v>
      </c>
    </row>
    <row r="1333" spans="1:10" x14ac:dyDescent="0.25">
      <c r="A1333" s="2">
        <v>45737</v>
      </c>
      <c r="B1333">
        <v>2025</v>
      </c>
      <c r="C1333" t="s">
        <v>27</v>
      </c>
      <c r="D1333">
        <v>3</v>
      </c>
      <c r="E1333" t="s">
        <v>11</v>
      </c>
      <c r="F1333" t="s">
        <v>22</v>
      </c>
      <c r="G1333" s="3">
        <v>560</v>
      </c>
      <c r="H1333" s="3">
        <v>42.54</v>
      </c>
      <c r="I1333" s="3">
        <v>23822.400000000001</v>
      </c>
      <c r="J1333" s="3">
        <v>-6.98</v>
      </c>
    </row>
    <row r="1334" spans="1:10" x14ac:dyDescent="0.25">
      <c r="A1334" s="2">
        <v>45737</v>
      </c>
      <c r="B1334">
        <v>2025</v>
      </c>
      <c r="C1334" t="s">
        <v>27</v>
      </c>
      <c r="D1334">
        <v>3</v>
      </c>
      <c r="E1334" t="s">
        <v>11</v>
      </c>
      <c r="F1334" t="s">
        <v>12</v>
      </c>
      <c r="G1334" s="3">
        <v>108</v>
      </c>
      <c r="H1334" s="3">
        <v>145.94</v>
      </c>
      <c r="I1334" s="3">
        <v>15761.52</v>
      </c>
      <c r="J1334" s="3">
        <v>18.53</v>
      </c>
    </row>
    <row r="1335" spans="1:10" x14ac:dyDescent="0.25">
      <c r="A1335" s="2">
        <v>45737</v>
      </c>
      <c r="B1335">
        <v>2025</v>
      </c>
      <c r="C1335" t="s">
        <v>27</v>
      </c>
      <c r="D1335">
        <v>3</v>
      </c>
      <c r="E1335" t="s">
        <v>26</v>
      </c>
      <c r="F1335" t="s">
        <v>12</v>
      </c>
      <c r="G1335" s="3">
        <v>313</v>
      </c>
      <c r="H1335" s="3">
        <v>189.34</v>
      </c>
      <c r="I1335" s="3">
        <v>59263.42</v>
      </c>
      <c r="J1335" s="3">
        <v>16.04</v>
      </c>
    </row>
    <row r="1336" spans="1:10" x14ac:dyDescent="0.25">
      <c r="A1336" s="2">
        <v>45737</v>
      </c>
      <c r="B1336">
        <v>2025</v>
      </c>
      <c r="C1336" t="s">
        <v>27</v>
      </c>
      <c r="D1336">
        <v>3</v>
      </c>
      <c r="E1336" t="s">
        <v>26</v>
      </c>
      <c r="F1336" t="s">
        <v>24</v>
      </c>
      <c r="G1336" s="3">
        <v>415</v>
      </c>
      <c r="H1336" s="3">
        <v>80.349999999999994</v>
      </c>
      <c r="I1336" s="3">
        <v>33345.25</v>
      </c>
      <c r="J1336" s="3">
        <v>-12.32</v>
      </c>
    </row>
    <row r="1337" spans="1:10" x14ac:dyDescent="0.25">
      <c r="A1337" s="2">
        <v>45737</v>
      </c>
      <c r="B1337">
        <v>2025</v>
      </c>
      <c r="C1337" t="s">
        <v>27</v>
      </c>
      <c r="D1337">
        <v>3</v>
      </c>
      <c r="E1337" t="s">
        <v>26</v>
      </c>
      <c r="F1337" t="s">
        <v>14</v>
      </c>
      <c r="G1337" s="3">
        <v>680</v>
      </c>
      <c r="H1337" s="3">
        <v>91.27</v>
      </c>
      <c r="I1337" s="3">
        <v>62063.6</v>
      </c>
      <c r="J1337" s="3">
        <v>11.77</v>
      </c>
    </row>
    <row r="1338" spans="1:10" x14ac:dyDescent="0.25">
      <c r="A1338" s="2">
        <v>45737</v>
      </c>
      <c r="B1338">
        <v>2025</v>
      </c>
      <c r="C1338" t="s">
        <v>27</v>
      </c>
      <c r="D1338">
        <v>3</v>
      </c>
      <c r="E1338" t="s">
        <v>26</v>
      </c>
      <c r="F1338" t="s">
        <v>15</v>
      </c>
      <c r="G1338" s="3">
        <v>399</v>
      </c>
      <c r="H1338" s="3">
        <v>75.09</v>
      </c>
      <c r="I1338" s="3">
        <v>29960.91</v>
      </c>
      <c r="J1338" s="3">
        <v>7.08</v>
      </c>
    </row>
    <row r="1339" spans="1:10" x14ac:dyDescent="0.25">
      <c r="A1339" s="2">
        <v>45737</v>
      </c>
      <c r="B1339">
        <v>2025</v>
      </c>
      <c r="C1339" t="s">
        <v>27</v>
      </c>
      <c r="D1339">
        <v>3</v>
      </c>
      <c r="E1339" t="s">
        <v>26</v>
      </c>
      <c r="F1339" t="s">
        <v>16</v>
      </c>
      <c r="G1339" s="3">
        <v>147</v>
      </c>
      <c r="H1339" s="3">
        <v>32.79</v>
      </c>
      <c r="I1339" s="3">
        <v>4820.13</v>
      </c>
      <c r="J1339" s="3">
        <v>-6.57</v>
      </c>
    </row>
    <row r="1340" spans="1:10" x14ac:dyDescent="0.25">
      <c r="A1340" s="2">
        <v>45737</v>
      </c>
      <c r="B1340">
        <v>2025</v>
      </c>
      <c r="C1340" t="s">
        <v>27</v>
      </c>
      <c r="D1340">
        <v>3</v>
      </c>
      <c r="E1340" t="s">
        <v>26</v>
      </c>
      <c r="F1340" t="s">
        <v>17</v>
      </c>
      <c r="G1340" s="3">
        <v>325</v>
      </c>
      <c r="H1340" s="3">
        <v>29.94</v>
      </c>
      <c r="I1340" s="3">
        <v>9730.5</v>
      </c>
      <c r="J1340" s="3">
        <v>22.7</v>
      </c>
    </row>
    <row r="1341" spans="1:10" x14ac:dyDescent="0.25">
      <c r="A1341" s="2">
        <v>45737</v>
      </c>
      <c r="B1341">
        <v>2025</v>
      </c>
      <c r="C1341" t="s">
        <v>27</v>
      </c>
      <c r="D1341">
        <v>3</v>
      </c>
      <c r="E1341" t="s">
        <v>26</v>
      </c>
      <c r="F1341" t="s">
        <v>18</v>
      </c>
      <c r="G1341" s="3">
        <v>613</v>
      </c>
      <c r="H1341" s="3">
        <v>98.92</v>
      </c>
      <c r="I1341" s="3">
        <v>60637.96</v>
      </c>
      <c r="J1341" s="3">
        <v>6.2</v>
      </c>
    </row>
    <row r="1342" spans="1:10" x14ac:dyDescent="0.25">
      <c r="A1342" s="2">
        <v>45737</v>
      </c>
      <c r="B1342">
        <v>2025</v>
      </c>
      <c r="C1342" t="s">
        <v>27</v>
      </c>
      <c r="D1342">
        <v>3</v>
      </c>
      <c r="E1342" t="s">
        <v>26</v>
      </c>
      <c r="F1342" t="s">
        <v>19</v>
      </c>
      <c r="G1342" s="3">
        <v>687</v>
      </c>
      <c r="H1342" s="3">
        <v>49.88</v>
      </c>
      <c r="I1342" s="3">
        <v>34267.56</v>
      </c>
      <c r="J1342" s="3">
        <v>-10.42</v>
      </c>
    </row>
    <row r="1343" spans="1:10" x14ac:dyDescent="0.25">
      <c r="A1343" s="2">
        <v>45737</v>
      </c>
      <c r="B1343">
        <v>2025</v>
      </c>
      <c r="C1343" t="s">
        <v>27</v>
      </c>
      <c r="D1343">
        <v>3</v>
      </c>
      <c r="E1343" t="s">
        <v>26</v>
      </c>
      <c r="F1343" t="s">
        <v>20</v>
      </c>
      <c r="G1343" s="3">
        <v>285</v>
      </c>
      <c r="H1343" s="3">
        <v>70.11</v>
      </c>
      <c r="I1343" s="3">
        <v>19981.349999999999</v>
      </c>
      <c r="J1343" s="3">
        <v>16.93</v>
      </c>
    </row>
    <row r="1344" spans="1:10" x14ac:dyDescent="0.25">
      <c r="A1344" s="2">
        <v>45737</v>
      </c>
      <c r="B1344">
        <v>2025</v>
      </c>
      <c r="C1344" t="s">
        <v>27</v>
      </c>
      <c r="D1344">
        <v>3</v>
      </c>
      <c r="E1344" t="s">
        <v>26</v>
      </c>
      <c r="F1344" t="s">
        <v>21</v>
      </c>
      <c r="G1344" s="3">
        <v>159</v>
      </c>
      <c r="H1344" s="3">
        <v>133.5</v>
      </c>
      <c r="I1344" s="3">
        <v>21226.5</v>
      </c>
      <c r="J1344" s="3">
        <v>-6.21</v>
      </c>
    </row>
    <row r="1345" spans="1:10" x14ac:dyDescent="0.25">
      <c r="A1345" s="2">
        <v>45737</v>
      </c>
      <c r="B1345">
        <v>2025</v>
      </c>
      <c r="C1345" t="s">
        <v>27</v>
      </c>
      <c r="D1345">
        <v>3</v>
      </c>
      <c r="E1345" t="s">
        <v>11</v>
      </c>
      <c r="F1345" t="s">
        <v>25</v>
      </c>
      <c r="G1345" s="3">
        <v>283</v>
      </c>
      <c r="H1345" s="3">
        <v>144.41999999999999</v>
      </c>
      <c r="I1345" s="3">
        <v>40870.86</v>
      </c>
      <c r="J1345" s="3">
        <v>9.1199999999999992</v>
      </c>
    </row>
    <row r="1346" spans="1:10" x14ac:dyDescent="0.25">
      <c r="A1346" s="2">
        <v>45767</v>
      </c>
      <c r="B1346">
        <v>2025</v>
      </c>
      <c r="C1346" t="s">
        <v>28</v>
      </c>
      <c r="D1346">
        <v>4</v>
      </c>
      <c r="E1346" t="s">
        <v>13</v>
      </c>
      <c r="F1346" t="s">
        <v>21</v>
      </c>
      <c r="G1346" s="3">
        <v>188</v>
      </c>
      <c r="H1346" s="3">
        <v>72.650000000000006</v>
      </c>
      <c r="I1346" s="3">
        <v>13658.2</v>
      </c>
      <c r="J1346" s="3">
        <v>-1.71</v>
      </c>
    </row>
    <row r="1347" spans="1:10" x14ac:dyDescent="0.25">
      <c r="A1347" s="2">
        <v>45767</v>
      </c>
      <c r="B1347">
        <v>2025</v>
      </c>
      <c r="C1347" t="s">
        <v>28</v>
      </c>
      <c r="D1347">
        <v>4</v>
      </c>
      <c r="E1347" t="s">
        <v>13</v>
      </c>
      <c r="F1347" t="s">
        <v>20</v>
      </c>
      <c r="G1347" s="3">
        <v>761</v>
      </c>
      <c r="H1347" s="3">
        <v>159.54</v>
      </c>
      <c r="I1347" s="3">
        <v>121409.94</v>
      </c>
      <c r="J1347" s="3">
        <v>-5.62</v>
      </c>
    </row>
    <row r="1348" spans="1:10" x14ac:dyDescent="0.25">
      <c r="A1348" s="2">
        <v>45767</v>
      </c>
      <c r="B1348">
        <v>2025</v>
      </c>
      <c r="C1348" t="s">
        <v>28</v>
      </c>
      <c r="D1348">
        <v>4</v>
      </c>
      <c r="E1348" t="s">
        <v>13</v>
      </c>
      <c r="F1348" t="s">
        <v>19</v>
      </c>
      <c r="G1348" s="3">
        <v>663</v>
      </c>
      <c r="H1348" s="3">
        <v>23.45</v>
      </c>
      <c r="I1348" s="3">
        <v>15547.35</v>
      </c>
      <c r="J1348" s="3">
        <v>18.07</v>
      </c>
    </row>
    <row r="1349" spans="1:10" x14ac:dyDescent="0.25">
      <c r="A1349" s="2">
        <v>45767</v>
      </c>
      <c r="B1349">
        <v>2025</v>
      </c>
      <c r="C1349" t="s">
        <v>28</v>
      </c>
      <c r="D1349">
        <v>4</v>
      </c>
      <c r="E1349" t="s">
        <v>13</v>
      </c>
      <c r="F1349" t="s">
        <v>14</v>
      </c>
      <c r="G1349" s="3">
        <v>121</v>
      </c>
      <c r="H1349" s="3">
        <v>186.03</v>
      </c>
      <c r="I1349" s="3">
        <v>22509.63</v>
      </c>
      <c r="J1349" s="3">
        <v>12.82</v>
      </c>
    </row>
    <row r="1350" spans="1:10" x14ac:dyDescent="0.25">
      <c r="A1350" s="2">
        <v>45767</v>
      </c>
      <c r="B1350">
        <v>2025</v>
      </c>
      <c r="C1350" t="s">
        <v>28</v>
      </c>
      <c r="D1350">
        <v>4</v>
      </c>
      <c r="E1350" t="s">
        <v>13</v>
      </c>
      <c r="F1350" t="s">
        <v>17</v>
      </c>
      <c r="G1350" s="3">
        <v>530</v>
      </c>
      <c r="H1350" s="3">
        <v>62.65</v>
      </c>
      <c r="I1350" s="3">
        <v>33204.5</v>
      </c>
      <c r="J1350" s="3">
        <v>12.1</v>
      </c>
    </row>
    <row r="1351" spans="1:10" x14ac:dyDescent="0.25">
      <c r="A1351" s="2">
        <v>45767</v>
      </c>
      <c r="B1351">
        <v>2025</v>
      </c>
      <c r="C1351" t="s">
        <v>28</v>
      </c>
      <c r="D1351">
        <v>4</v>
      </c>
      <c r="E1351" t="s">
        <v>13</v>
      </c>
      <c r="F1351" t="s">
        <v>16</v>
      </c>
      <c r="G1351" s="3">
        <v>188</v>
      </c>
      <c r="H1351" s="3">
        <v>122.32</v>
      </c>
      <c r="I1351" s="3">
        <v>22996.16</v>
      </c>
      <c r="J1351" s="3">
        <v>11.06</v>
      </c>
    </row>
    <row r="1352" spans="1:10" x14ac:dyDescent="0.25">
      <c r="A1352" s="2">
        <v>45767</v>
      </c>
      <c r="B1352">
        <v>2025</v>
      </c>
      <c r="C1352" t="s">
        <v>28</v>
      </c>
      <c r="D1352">
        <v>4</v>
      </c>
      <c r="E1352" t="s">
        <v>13</v>
      </c>
      <c r="F1352" t="s">
        <v>15</v>
      </c>
      <c r="G1352" s="3">
        <v>156</v>
      </c>
      <c r="H1352" s="3">
        <v>164.26</v>
      </c>
      <c r="I1352" s="3">
        <v>25624.560000000001</v>
      </c>
      <c r="J1352" s="3">
        <v>0.68</v>
      </c>
    </row>
    <row r="1353" spans="1:10" x14ac:dyDescent="0.25">
      <c r="A1353" s="2">
        <v>45767</v>
      </c>
      <c r="B1353">
        <v>2025</v>
      </c>
      <c r="C1353" t="s">
        <v>28</v>
      </c>
      <c r="D1353">
        <v>4</v>
      </c>
      <c r="E1353" t="s">
        <v>13</v>
      </c>
      <c r="F1353" t="s">
        <v>22</v>
      </c>
      <c r="G1353" s="3">
        <v>499</v>
      </c>
      <c r="H1353" s="3">
        <v>140.22</v>
      </c>
      <c r="I1353" s="3">
        <v>69969.78</v>
      </c>
      <c r="J1353" s="3">
        <v>22.33</v>
      </c>
    </row>
    <row r="1354" spans="1:10" x14ac:dyDescent="0.25">
      <c r="A1354" s="2">
        <v>45767</v>
      </c>
      <c r="B1354">
        <v>2025</v>
      </c>
      <c r="C1354" t="s">
        <v>28</v>
      </c>
      <c r="D1354">
        <v>4</v>
      </c>
      <c r="E1354" t="s">
        <v>13</v>
      </c>
      <c r="F1354" t="s">
        <v>18</v>
      </c>
      <c r="G1354" s="3">
        <v>473</v>
      </c>
      <c r="H1354" s="3">
        <v>187.25</v>
      </c>
      <c r="I1354" s="3">
        <v>88569.25</v>
      </c>
      <c r="J1354" s="3">
        <v>0.49</v>
      </c>
    </row>
    <row r="1355" spans="1:10" x14ac:dyDescent="0.25">
      <c r="A1355" s="2">
        <v>45767</v>
      </c>
      <c r="B1355">
        <v>2025</v>
      </c>
      <c r="C1355" t="s">
        <v>28</v>
      </c>
      <c r="D1355">
        <v>4</v>
      </c>
      <c r="E1355" t="s">
        <v>13</v>
      </c>
      <c r="F1355" t="s">
        <v>25</v>
      </c>
      <c r="G1355" s="3">
        <v>717</v>
      </c>
      <c r="H1355" s="3">
        <v>127.51</v>
      </c>
      <c r="I1355" s="3">
        <v>91424.67</v>
      </c>
      <c r="J1355" s="3">
        <v>11.14</v>
      </c>
    </row>
    <row r="1356" spans="1:10" x14ac:dyDescent="0.25">
      <c r="A1356" s="2">
        <v>45767</v>
      </c>
      <c r="B1356">
        <v>2025</v>
      </c>
      <c r="C1356" t="s">
        <v>28</v>
      </c>
      <c r="D1356">
        <v>4</v>
      </c>
      <c r="E1356" t="s">
        <v>23</v>
      </c>
      <c r="F1356" t="s">
        <v>17</v>
      </c>
      <c r="G1356" s="3">
        <v>132</v>
      </c>
      <c r="H1356" s="3">
        <v>76.14</v>
      </c>
      <c r="I1356" s="3">
        <v>10050.48</v>
      </c>
      <c r="J1356" s="3">
        <v>-1.4</v>
      </c>
    </row>
    <row r="1357" spans="1:10" x14ac:dyDescent="0.25">
      <c r="A1357" s="2">
        <v>45767</v>
      </c>
      <c r="B1357">
        <v>2025</v>
      </c>
      <c r="C1357" t="s">
        <v>28</v>
      </c>
      <c r="D1357">
        <v>4</v>
      </c>
      <c r="E1357" t="s">
        <v>23</v>
      </c>
      <c r="F1357" t="s">
        <v>24</v>
      </c>
      <c r="G1357" s="3">
        <v>168</v>
      </c>
      <c r="H1357" s="3">
        <v>127.93</v>
      </c>
      <c r="I1357" s="3">
        <v>21492.240000000002</v>
      </c>
      <c r="J1357" s="3">
        <v>5.25</v>
      </c>
    </row>
    <row r="1358" spans="1:10" x14ac:dyDescent="0.25">
      <c r="A1358" s="2">
        <v>45767</v>
      </c>
      <c r="B1358">
        <v>2025</v>
      </c>
      <c r="C1358" t="s">
        <v>28</v>
      </c>
      <c r="D1358">
        <v>4</v>
      </c>
      <c r="E1358" t="s">
        <v>23</v>
      </c>
      <c r="F1358" t="s">
        <v>14</v>
      </c>
      <c r="G1358" s="3">
        <v>775</v>
      </c>
      <c r="H1358" s="3">
        <v>69.94</v>
      </c>
      <c r="I1358" s="3">
        <v>54203.5</v>
      </c>
      <c r="J1358" s="3">
        <v>-3.74</v>
      </c>
    </row>
    <row r="1359" spans="1:10" x14ac:dyDescent="0.25">
      <c r="A1359" s="2">
        <v>45767</v>
      </c>
      <c r="B1359">
        <v>2025</v>
      </c>
      <c r="C1359" t="s">
        <v>28</v>
      </c>
      <c r="D1359">
        <v>4</v>
      </c>
      <c r="E1359" t="s">
        <v>23</v>
      </c>
      <c r="F1359" t="s">
        <v>15</v>
      </c>
      <c r="G1359" s="3">
        <v>107</v>
      </c>
      <c r="H1359" s="3">
        <v>102.01</v>
      </c>
      <c r="I1359" s="3">
        <v>10915.07</v>
      </c>
      <c r="J1359" s="3">
        <v>12.12</v>
      </c>
    </row>
    <row r="1360" spans="1:10" x14ac:dyDescent="0.25">
      <c r="A1360" s="2">
        <v>45767</v>
      </c>
      <c r="B1360">
        <v>2025</v>
      </c>
      <c r="C1360" t="s">
        <v>28</v>
      </c>
      <c r="D1360">
        <v>4</v>
      </c>
      <c r="E1360" t="s">
        <v>23</v>
      </c>
      <c r="F1360" t="s">
        <v>16</v>
      </c>
      <c r="G1360" s="3">
        <v>154</v>
      </c>
      <c r="H1360" s="3">
        <v>82.44</v>
      </c>
      <c r="I1360" s="3">
        <v>12695.76</v>
      </c>
      <c r="J1360" s="3">
        <v>2.4300000000000002</v>
      </c>
    </row>
    <row r="1361" spans="1:10" x14ac:dyDescent="0.25">
      <c r="A1361" s="2">
        <v>45767</v>
      </c>
      <c r="B1361">
        <v>2025</v>
      </c>
      <c r="C1361" t="s">
        <v>28</v>
      </c>
      <c r="D1361">
        <v>4</v>
      </c>
      <c r="E1361" t="s">
        <v>23</v>
      </c>
      <c r="F1361" t="s">
        <v>18</v>
      </c>
      <c r="G1361" s="3">
        <v>745</v>
      </c>
      <c r="H1361" s="3">
        <v>99.7</v>
      </c>
      <c r="I1361" s="3">
        <v>74276.5</v>
      </c>
      <c r="J1361" s="3">
        <v>-4.5599999999999996</v>
      </c>
    </row>
    <row r="1362" spans="1:10" x14ac:dyDescent="0.25">
      <c r="A1362" s="2">
        <v>45767</v>
      </c>
      <c r="B1362">
        <v>2025</v>
      </c>
      <c r="C1362" t="s">
        <v>28</v>
      </c>
      <c r="D1362">
        <v>4</v>
      </c>
      <c r="E1362" t="s">
        <v>23</v>
      </c>
      <c r="F1362" t="s">
        <v>19</v>
      </c>
      <c r="G1362" s="3">
        <v>259</v>
      </c>
      <c r="H1362" s="3">
        <v>198.51</v>
      </c>
      <c r="I1362" s="3">
        <v>51414.09</v>
      </c>
      <c r="J1362" s="3">
        <v>6.64</v>
      </c>
    </row>
    <row r="1363" spans="1:10" x14ac:dyDescent="0.25">
      <c r="A1363" s="2">
        <v>45767</v>
      </c>
      <c r="B1363">
        <v>2025</v>
      </c>
      <c r="C1363" t="s">
        <v>28</v>
      </c>
      <c r="D1363">
        <v>4</v>
      </c>
      <c r="E1363" t="s">
        <v>23</v>
      </c>
      <c r="F1363" t="s">
        <v>20</v>
      </c>
      <c r="G1363" s="3">
        <v>509</v>
      </c>
      <c r="H1363" s="3">
        <v>53.43</v>
      </c>
      <c r="I1363" s="3">
        <v>27195.87</v>
      </c>
      <c r="J1363" s="3">
        <v>-0.1</v>
      </c>
    </row>
    <row r="1364" spans="1:10" x14ac:dyDescent="0.25">
      <c r="A1364" s="2">
        <v>45767</v>
      </c>
      <c r="B1364">
        <v>2025</v>
      </c>
      <c r="C1364" t="s">
        <v>28</v>
      </c>
      <c r="D1364">
        <v>4</v>
      </c>
      <c r="E1364" t="s">
        <v>23</v>
      </c>
      <c r="F1364" t="s">
        <v>21</v>
      </c>
      <c r="G1364" s="3">
        <v>541</v>
      </c>
      <c r="H1364" s="3">
        <v>49.68</v>
      </c>
      <c r="I1364" s="3">
        <v>26876.880000000001</v>
      </c>
      <c r="J1364" s="3">
        <v>-5.4</v>
      </c>
    </row>
    <row r="1365" spans="1:10" x14ac:dyDescent="0.25">
      <c r="A1365" s="2">
        <v>45767</v>
      </c>
      <c r="B1365">
        <v>2025</v>
      </c>
      <c r="C1365" t="s">
        <v>28</v>
      </c>
      <c r="D1365">
        <v>4</v>
      </c>
      <c r="E1365" t="s">
        <v>23</v>
      </c>
      <c r="F1365" t="s">
        <v>22</v>
      </c>
      <c r="G1365" s="3">
        <v>233</v>
      </c>
      <c r="H1365" s="3">
        <v>127.14</v>
      </c>
      <c r="I1365" s="3">
        <v>29623.62</v>
      </c>
      <c r="J1365" s="3">
        <v>-8.98</v>
      </c>
    </row>
    <row r="1366" spans="1:10" x14ac:dyDescent="0.25">
      <c r="A1366" s="2">
        <v>45767</v>
      </c>
      <c r="B1366">
        <v>2025</v>
      </c>
      <c r="C1366" t="s">
        <v>28</v>
      </c>
      <c r="D1366">
        <v>4</v>
      </c>
      <c r="E1366" t="s">
        <v>13</v>
      </c>
      <c r="F1366" t="s">
        <v>24</v>
      </c>
      <c r="G1366" s="3">
        <v>286</v>
      </c>
      <c r="H1366" s="3">
        <v>40.090000000000003</v>
      </c>
      <c r="I1366" s="3">
        <v>11465.74</v>
      </c>
      <c r="J1366" s="3">
        <v>9.33</v>
      </c>
    </row>
    <row r="1367" spans="1:10" x14ac:dyDescent="0.25">
      <c r="A1367" s="2">
        <v>45767</v>
      </c>
      <c r="B1367">
        <v>2025</v>
      </c>
      <c r="C1367" t="s">
        <v>28</v>
      </c>
      <c r="D1367">
        <v>4</v>
      </c>
      <c r="E1367" t="s">
        <v>23</v>
      </c>
      <c r="F1367" t="s">
        <v>12</v>
      </c>
      <c r="G1367" s="3">
        <v>233</v>
      </c>
      <c r="H1367" s="3">
        <v>77.16</v>
      </c>
      <c r="I1367" s="3">
        <v>17978.28</v>
      </c>
      <c r="J1367" s="3">
        <v>18.920000000000002</v>
      </c>
    </row>
    <row r="1368" spans="1:10" x14ac:dyDescent="0.25">
      <c r="A1368" s="2">
        <v>45767</v>
      </c>
      <c r="B1368">
        <v>2025</v>
      </c>
      <c r="C1368" t="s">
        <v>28</v>
      </c>
      <c r="D1368">
        <v>4</v>
      </c>
      <c r="E1368" t="s">
        <v>13</v>
      </c>
      <c r="F1368" t="s">
        <v>12</v>
      </c>
      <c r="G1368" s="3">
        <v>314</v>
      </c>
      <c r="H1368" s="3">
        <v>80.48</v>
      </c>
      <c r="I1368" s="3">
        <v>25270.720000000001</v>
      </c>
      <c r="J1368" s="3">
        <v>3.63</v>
      </c>
    </row>
    <row r="1369" spans="1:10" x14ac:dyDescent="0.25">
      <c r="A1369" s="2">
        <v>45767</v>
      </c>
      <c r="B1369">
        <v>2025</v>
      </c>
      <c r="C1369" t="s">
        <v>28</v>
      </c>
      <c r="D1369">
        <v>4</v>
      </c>
      <c r="E1369" t="s">
        <v>23</v>
      </c>
      <c r="F1369" t="s">
        <v>25</v>
      </c>
      <c r="G1369" s="3">
        <v>703</v>
      </c>
      <c r="H1369" s="3">
        <v>100.78</v>
      </c>
      <c r="I1369" s="3">
        <v>70848.34</v>
      </c>
      <c r="J1369" s="3">
        <v>21.53</v>
      </c>
    </row>
    <row r="1370" spans="1:10" x14ac:dyDescent="0.25">
      <c r="A1370" s="2">
        <v>45767</v>
      </c>
      <c r="B1370">
        <v>2025</v>
      </c>
      <c r="C1370" t="s">
        <v>28</v>
      </c>
      <c r="D1370">
        <v>4</v>
      </c>
      <c r="E1370" t="s">
        <v>26</v>
      </c>
      <c r="F1370" t="s">
        <v>22</v>
      </c>
      <c r="G1370" s="3">
        <v>357</v>
      </c>
      <c r="H1370" s="3">
        <v>187.11</v>
      </c>
      <c r="I1370" s="3">
        <v>66798.27</v>
      </c>
      <c r="J1370" s="3">
        <v>24.86</v>
      </c>
    </row>
    <row r="1371" spans="1:10" x14ac:dyDescent="0.25">
      <c r="A1371" s="2">
        <v>45767</v>
      </c>
      <c r="B1371">
        <v>2025</v>
      </c>
      <c r="C1371" t="s">
        <v>28</v>
      </c>
      <c r="D1371">
        <v>4</v>
      </c>
      <c r="E1371" t="s">
        <v>11</v>
      </c>
      <c r="F1371" t="s">
        <v>12</v>
      </c>
      <c r="G1371" s="3">
        <v>769</v>
      </c>
      <c r="H1371" s="3">
        <v>71.430000000000007</v>
      </c>
      <c r="I1371" s="3">
        <v>54929.67</v>
      </c>
      <c r="J1371" s="3">
        <v>22.08</v>
      </c>
    </row>
    <row r="1372" spans="1:10" x14ac:dyDescent="0.25">
      <c r="A1372" s="2">
        <v>45767</v>
      </c>
      <c r="B1372">
        <v>2025</v>
      </c>
      <c r="C1372" t="s">
        <v>28</v>
      </c>
      <c r="D1372">
        <v>4</v>
      </c>
      <c r="E1372" t="s">
        <v>11</v>
      </c>
      <c r="F1372" t="s">
        <v>24</v>
      </c>
      <c r="G1372" s="3">
        <v>761</v>
      </c>
      <c r="H1372" s="3">
        <v>120.58</v>
      </c>
      <c r="I1372" s="3">
        <v>91761.38</v>
      </c>
      <c r="J1372" s="3">
        <v>-0.15</v>
      </c>
    </row>
    <row r="1373" spans="1:10" x14ac:dyDescent="0.25">
      <c r="A1373" s="2">
        <v>45767</v>
      </c>
      <c r="B1373">
        <v>2025</v>
      </c>
      <c r="C1373" t="s">
        <v>28</v>
      </c>
      <c r="D1373">
        <v>4</v>
      </c>
      <c r="E1373" t="s">
        <v>11</v>
      </c>
      <c r="F1373" t="s">
        <v>14</v>
      </c>
      <c r="G1373" s="3">
        <v>55</v>
      </c>
      <c r="H1373" s="3">
        <v>87.42</v>
      </c>
      <c r="I1373" s="3">
        <v>4808.1000000000004</v>
      </c>
      <c r="J1373" s="3">
        <v>16.91</v>
      </c>
    </row>
    <row r="1374" spans="1:10" x14ac:dyDescent="0.25">
      <c r="A1374" s="2">
        <v>45767</v>
      </c>
      <c r="B1374">
        <v>2025</v>
      </c>
      <c r="C1374" t="s">
        <v>28</v>
      </c>
      <c r="D1374">
        <v>4</v>
      </c>
      <c r="E1374" t="s">
        <v>11</v>
      </c>
      <c r="F1374" t="s">
        <v>15</v>
      </c>
      <c r="G1374" s="3">
        <v>436</v>
      </c>
      <c r="H1374" s="3">
        <v>180.92</v>
      </c>
      <c r="I1374" s="3">
        <v>78881.119999999995</v>
      </c>
      <c r="J1374" s="3">
        <v>-1.5</v>
      </c>
    </row>
    <row r="1375" spans="1:10" x14ac:dyDescent="0.25">
      <c r="A1375" s="2">
        <v>45767</v>
      </c>
      <c r="B1375">
        <v>2025</v>
      </c>
      <c r="C1375" t="s">
        <v>28</v>
      </c>
      <c r="D1375">
        <v>4</v>
      </c>
      <c r="E1375" t="s">
        <v>11</v>
      </c>
      <c r="F1375" t="s">
        <v>16</v>
      </c>
      <c r="G1375" s="3">
        <v>398</v>
      </c>
      <c r="H1375" s="3">
        <v>163.27000000000001</v>
      </c>
      <c r="I1375" s="3">
        <v>64981.46</v>
      </c>
      <c r="J1375" s="3">
        <v>-8</v>
      </c>
    </row>
    <row r="1376" spans="1:10" x14ac:dyDescent="0.25">
      <c r="A1376" s="2">
        <v>45767</v>
      </c>
      <c r="B1376">
        <v>2025</v>
      </c>
      <c r="C1376" t="s">
        <v>28</v>
      </c>
      <c r="D1376">
        <v>4</v>
      </c>
      <c r="E1376" t="s">
        <v>11</v>
      </c>
      <c r="F1376" t="s">
        <v>17</v>
      </c>
      <c r="G1376" s="3">
        <v>394</v>
      </c>
      <c r="H1376" s="3">
        <v>24.54</v>
      </c>
      <c r="I1376" s="3">
        <v>9668.76</v>
      </c>
      <c r="J1376" s="3">
        <v>-4.8899999999999997</v>
      </c>
    </row>
    <row r="1377" spans="1:10" x14ac:dyDescent="0.25">
      <c r="A1377" s="2">
        <v>45767</v>
      </c>
      <c r="B1377">
        <v>2025</v>
      </c>
      <c r="C1377" t="s">
        <v>28</v>
      </c>
      <c r="D1377">
        <v>4</v>
      </c>
      <c r="E1377" t="s">
        <v>11</v>
      </c>
      <c r="F1377" t="s">
        <v>18</v>
      </c>
      <c r="G1377" s="3">
        <v>774</v>
      </c>
      <c r="H1377" s="3">
        <v>177.33</v>
      </c>
      <c r="I1377" s="3">
        <v>137253.42000000001</v>
      </c>
      <c r="J1377" s="3">
        <v>-5.01</v>
      </c>
    </row>
    <row r="1378" spans="1:10" x14ac:dyDescent="0.25">
      <c r="A1378" s="2">
        <v>45767</v>
      </c>
      <c r="B1378">
        <v>2025</v>
      </c>
      <c r="C1378" t="s">
        <v>28</v>
      </c>
      <c r="D1378">
        <v>4</v>
      </c>
      <c r="E1378" t="s">
        <v>11</v>
      </c>
      <c r="F1378" t="s">
        <v>19</v>
      </c>
      <c r="G1378" s="3">
        <v>455</v>
      </c>
      <c r="H1378" s="3">
        <v>155.30000000000001</v>
      </c>
      <c r="I1378" s="3">
        <v>70661.5</v>
      </c>
      <c r="J1378" s="3">
        <v>9.94</v>
      </c>
    </row>
    <row r="1379" spans="1:10" x14ac:dyDescent="0.25">
      <c r="A1379" s="2">
        <v>45767</v>
      </c>
      <c r="B1379">
        <v>2025</v>
      </c>
      <c r="C1379" t="s">
        <v>28</v>
      </c>
      <c r="D1379">
        <v>4</v>
      </c>
      <c r="E1379" t="s">
        <v>11</v>
      </c>
      <c r="F1379" t="s">
        <v>20</v>
      </c>
      <c r="G1379" s="3">
        <v>675</v>
      </c>
      <c r="H1379" s="3">
        <v>29.63</v>
      </c>
      <c r="I1379" s="3">
        <v>20000.25</v>
      </c>
      <c r="J1379" s="3">
        <v>0.06</v>
      </c>
    </row>
    <row r="1380" spans="1:10" x14ac:dyDescent="0.25">
      <c r="A1380" s="2">
        <v>45767</v>
      </c>
      <c r="B1380">
        <v>2025</v>
      </c>
      <c r="C1380" t="s">
        <v>28</v>
      </c>
      <c r="D1380">
        <v>4</v>
      </c>
      <c r="E1380" t="s">
        <v>11</v>
      </c>
      <c r="F1380" t="s">
        <v>21</v>
      </c>
      <c r="G1380" s="3">
        <v>386</v>
      </c>
      <c r="H1380" s="3">
        <v>47.37</v>
      </c>
      <c r="I1380" s="3">
        <v>18284.82</v>
      </c>
      <c r="J1380" s="3">
        <v>3.33</v>
      </c>
    </row>
    <row r="1381" spans="1:10" x14ac:dyDescent="0.25">
      <c r="A1381" s="2">
        <v>45767</v>
      </c>
      <c r="B1381">
        <v>2025</v>
      </c>
      <c r="C1381" t="s">
        <v>28</v>
      </c>
      <c r="D1381">
        <v>4</v>
      </c>
      <c r="E1381" t="s">
        <v>11</v>
      </c>
      <c r="F1381" t="s">
        <v>22</v>
      </c>
      <c r="G1381" s="3">
        <v>322</v>
      </c>
      <c r="H1381" s="3">
        <v>72.91</v>
      </c>
      <c r="I1381" s="3">
        <v>23477.02</v>
      </c>
      <c r="J1381" s="3">
        <v>-5.52</v>
      </c>
    </row>
    <row r="1382" spans="1:10" x14ac:dyDescent="0.25">
      <c r="A1382" s="2">
        <v>45767</v>
      </c>
      <c r="B1382">
        <v>2025</v>
      </c>
      <c r="C1382" t="s">
        <v>28</v>
      </c>
      <c r="D1382">
        <v>4</v>
      </c>
      <c r="E1382" t="s">
        <v>26</v>
      </c>
      <c r="F1382" t="s">
        <v>25</v>
      </c>
      <c r="G1382" s="3">
        <v>93</v>
      </c>
      <c r="H1382" s="3">
        <v>24.49</v>
      </c>
      <c r="I1382" s="3">
        <v>2277.5700000000002</v>
      </c>
      <c r="J1382" s="3">
        <v>2.96</v>
      </c>
    </row>
    <row r="1383" spans="1:10" x14ac:dyDescent="0.25">
      <c r="A1383" s="2">
        <v>45767</v>
      </c>
      <c r="B1383">
        <v>2025</v>
      </c>
      <c r="C1383" t="s">
        <v>28</v>
      </c>
      <c r="D1383">
        <v>4</v>
      </c>
      <c r="E1383" t="s">
        <v>26</v>
      </c>
      <c r="F1383" t="s">
        <v>12</v>
      </c>
      <c r="G1383" s="3">
        <v>364</v>
      </c>
      <c r="H1383" s="3">
        <v>62.87</v>
      </c>
      <c r="I1383" s="3">
        <v>22884.68</v>
      </c>
      <c r="J1383" s="3">
        <v>21.34</v>
      </c>
    </row>
    <row r="1384" spans="1:10" x14ac:dyDescent="0.25">
      <c r="A1384" s="2">
        <v>45767</v>
      </c>
      <c r="B1384">
        <v>2025</v>
      </c>
      <c r="C1384" t="s">
        <v>28</v>
      </c>
      <c r="D1384">
        <v>4</v>
      </c>
      <c r="E1384" t="s">
        <v>26</v>
      </c>
      <c r="F1384" t="s">
        <v>24</v>
      </c>
      <c r="G1384" s="3">
        <v>278</v>
      </c>
      <c r="H1384" s="3">
        <v>103.93</v>
      </c>
      <c r="I1384" s="3">
        <v>28892.54</v>
      </c>
      <c r="J1384" s="3">
        <v>15.42</v>
      </c>
    </row>
    <row r="1385" spans="1:10" x14ac:dyDescent="0.25">
      <c r="A1385" s="2">
        <v>45767</v>
      </c>
      <c r="B1385">
        <v>2025</v>
      </c>
      <c r="C1385" t="s">
        <v>28</v>
      </c>
      <c r="D1385">
        <v>4</v>
      </c>
      <c r="E1385" t="s">
        <v>26</v>
      </c>
      <c r="F1385" t="s">
        <v>14</v>
      </c>
      <c r="G1385" s="3">
        <v>321</v>
      </c>
      <c r="H1385" s="3">
        <v>130.75</v>
      </c>
      <c r="I1385" s="3">
        <v>41970.75</v>
      </c>
      <c r="J1385" s="3">
        <v>15.42</v>
      </c>
    </row>
    <row r="1386" spans="1:10" x14ac:dyDescent="0.25">
      <c r="A1386" s="2">
        <v>45767</v>
      </c>
      <c r="B1386">
        <v>2025</v>
      </c>
      <c r="C1386" t="s">
        <v>28</v>
      </c>
      <c r="D1386">
        <v>4</v>
      </c>
      <c r="E1386" t="s">
        <v>26</v>
      </c>
      <c r="F1386" t="s">
        <v>15</v>
      </c>
      <c r="G1386" s="3">
        <v>560</v>
      </c>
      <c r="H1386" s="3">
        <v>127.44</v>
      </c>
      <c r="I1386" s="3">
        <v>71366.399999999994</v>
      </c>
      <c r="J1386" s="3">
        <v>24.98</v>
      </c>
    </row>
    <row r="1387" spans="1:10" x14ac:dyDescent="0.25">
      <c r="A1387" s="2">
        <v>45767</v>
      </c>
      <c r="B1387">
        <v>2025</v>
      </c>
      <c r="C1387" t="s">
        <v>28</v>
      </c>
      <c r="D1387">
        <v>4</v>
      </c>
      <c r="E1387" t="s">
        <v>26</v>
      </c>
      <c r="F1387" t="s">
        <v>16</v>
      </c>
      <c r="G1387" s="3">
        <v>657</v>
      </c>
      <c r="H1387" s="3">
        <v>87.64</v>
      </c>
      <c r="I1387" s="3">
        <v>57579.48</v>
      </c>
      <c r="J1387" s="3">
        <v>13.32</v>
      </c>
    </row>
    <row r="1388" spans="1:10" x14ac:dyDescent="0.25">
      <c r="A1388" s="2">
        <v>45767</v>
      </c>
      <c r="B1388">
        <v>2025</v>
      </c>
      <c r="C1388" t="s">
        <v>28</v>
      </c>
      <c r="D1388">
        <v>4</v>
      </c>
      <c r="E1388" t="s">
        <v>26</v>
      </c>
      <c r="F1388" t="s">
        <v>17</v>
      </c>
      <c r="G1388" s="3">
        <v>387</v>
      </c>
      <c r="H1388" s="3">
        <v>50.73</v>
      </c>
      <c r="I1388" s="3">
        <v>19632.509999999998</v>
      </c>
      <c r="J1388" s="3">
        <v>-13.78</v>
      </c>
    </row>
    <row r="1389" spans="1:10" x14ac:dyDescent="0.25">
      <c r="A1389" s="2">
        <v>45767</v>
      </c>
      <c r="B1389">
        <v>2025</v>
      </c>
      <c r="C1389" t="s">
        <v>28</v>
      </c>
      <c r="D1389">
        <v>4</v>
      </c>
      <c r="E1389" t="s">
        <v>26</v>
      </c>
      <c r="F1389" t="s">
        <v>18</v>
      </c>
      <c r="G1389" s="3">
        <v>710</v>
      </c>
      <c r="H1389" s="3">
        <v>28.18</v>
      </c>
      <c r="I1389" s="3">
        <v>20007.8</v>
      </c>
      <c r="J1389" s="3">
        <v>10.86</v>
      </c>
    </row>
    <row r="1390" spans="1:10" x14ac:dyDescent="0.25">
      <c r="A1390" s="2">
        <v>45767</v>
      </c>
      <c r="B1390">
        <v>2025</v>
      </c>
      <c r="C1390" t="s">
        <v>28</v>
      </c>
      <c r="D1390">
        <v>4</v>
      </c>
      <c r="E1390" t="s">
        <v>26</v>
      </c>
      <c r="F1390" t="s">
        <v>19</v>
      </c>
      <c r="G1390" s="3">
        <v>516</v>
      </c>
      <c r="H1390" s="3">
        <v>130.72</v>
      </c>
      <c r="I1390" s="3">
        <v>67451.520000000004</v>
      </c>
      <c r="J1390" s="3">
        <v>21.42</v>
      </c>
    </row>
    <row r="1391" spans="1:10" x14ac:dyDescent="0.25">
      <c r="A1391" s="2">
        <v>45767</v>
      </c>
      <c r="B1391">
        <v>2025</v>
      </c>
      <c r="C1391" t="s">
        <v>28</v>
      </c>
      <c r="D1391">
        <v>4</v>
      </c>
      <c r="E1391" t="s">
        <v>26</v>
      </c>
      <c r="F1391" t="s">
        <v>20</v>
      </c>
      <c r="G1391" s="3">
        <v>763</v>
      </c>
      <c r="H1391" s="3">
        <v>159.24</v>
      </c>
      <c r="I1391" s="3">
        <v>121500.12</v>
      </c>
      <c r="J1391" s="3">
        <v>-10.06</v>
      </c>
    </row>
    <row r="1392" spans="1:10" x14ac:dyDescent="0.25">
      <c r="A1392" s="2">
        <v>45767</v>
      </c>
      <c r="B1392">
        <v>2025</v>
      </c>
      <c r="C1392" t="s">
        <v>28</v>
      </c>
      <c r="D1392">
        <v>4</v>
      </c>
      <c r="E1392" t="s">
        <v>26</v>
      </c>
      <c r="F1392" t="s">
        <v>21</v>
      </c>
      <c r="G1392" s="3">
        <v>433</v>
      </c>
      <c r="H1392" s="3">
        <v>26.28</v>
      </c>
      <c r="I1392" s="3">
        <v>11379.24</v>
      </c>
      <c r="J1392" s="3">
        <v>7.05</v>
      </c>
    </row>
    <row r="1393" spans="1:10" x14ac:dyDescent="0.25">
      <c r="A1393" s="2">
        <v>45767</v>
      </c>
      <c r="B1393">
        <v>2025</v>
      </c>
      <c r="C1393" t="s">
        <v>28</v>
      </c>
      <c r="D1393">
        <v>4</v>
      </c>
      <c r="E1393" t="s">
        <v>11</v>
      </c>
      <c r="F1393" t="s">
        <v>25</v>
      </c>
      <c r="G1393" s="3">
        <v>780</v>
      </c>
      <c r="H1393" s="3">
        <v>27.21</v>
      </c>
      <c r="I1393" s="3">
        <v>21223.8</v>
      </c>
      <c r="J1393" s="3">
        <v>-3.34</v>
      </c>
    </row>
    <row r="1394" spans="1:10" x14ac:dyDescent="0.25">
      <c r="A1394" s="2">
        <v>45797</v>
      </c>
      <c r="B1394">
        <v>2025</v>
      </c>
      <c r="C1394" t="s">
        <v>29</v>
      </c>
      <c r="D1394">
        <v>5</v>
      </c>
      <c r="E1394" t="s">
        <v>13</v>
      </c>
      <c r="F1394" t="s">
        <v>21</v>
      </c>
      <c r="G1394" s="3">
        <v>578</v>
      </c>
      <c r="H1394" s="3">
        <v>120.32</v>
      </c>
      <c r="I1394" s="3">
        <v>69544.960000000006</v>
      </c>
      <c r="J1394" s="3">
        <v>-8.76</v>
      </c>
    </row>
    <row r="1395" spans="1:10" x14ac:dyDescent="0.25">
      <c r="A1395" s="2">
        <v>45797</v>
      </c>
      <c r="B1395">
        <v>2025</v>
      </c>
      <c r="C1395" t="s">
        <v>29</v>
      </c>
      <c r="D1395">
        <v>5</v>
      </c>
      <c r="E1395" t="s">
        <v>13</v>
      </c>
      <c r="F1395" t="s">
        <v>20</v>
      </c>
      <c r="G1395" s="3">
        <v>257</v>
      </c>
      <c r="H1395" s="3">
        <v>85.26</v>
      </c>
      <c r="I1395" s="3">
        <v>21911.82</v>
      </c>
      <c r="J1395" s="3">
        <v>17.23</v>
      </c>
    </row>
    <row r="1396" spans="1:10" x14ac:dyDescent="0.25">
      <c r="A1396" s="2">
        <v>45797</v>
      </c>
      <c r="B1396">
        <v>2025</v>
      </c>
      <c r="C1396" t="s">
        <v>29</v>
      </c>
      <c r="D1396">
        <v>5</v>
      </c>
      <c r="E1396" t="s">
        <v>13</v>
      </c>
      <c r="F1396" t="s">
        <v>19</v>
      </c>
      <c r="G1396" s="3">
        <v>384</v>
      </c>
      <c r="H1396" s="3">
        <v>167.73</v>
      </c>
      <c r="I1396" s="3">
        <v>64408.32</v>
      </c>
      <c r="J1396" s="3">
        <v>4.09</v>
      </c>
    </row>
    <row r="1397" spans="1:10" x14ac:dyDescent="0.25">
      <c r="A1397" s="2">
        <v>45797</v>
      </c>
      <c r="B1397">
        <v>2025</v>
      </c>
      <c r="C1397" t="s">
        <v>29</v>
      </c>
      <c r="D1397">
        <v>5</v>
      </c>
      <c r="E1397" t="s">
        <v>13</v>
      </c>
      <c r="F1397" t="s">
        <v>14</v>
      </c>
      <c r="G1397" s="3">
        <v>655</v>
      </c>
      <c r="H1397" s="3">
        <v>66.739999999999995</v>
      </c>
      <c r="I1397" s="3">
        <v>43714.7</v>
      </c>
      <c r="J1397" s="3">
        <v>23.79</v>
      </c>
    </row>
    <row r="1398" spans="1:10" x14ac:dyDescent="0.25">
      <c r="A1398" s="2">
        <v>45797</v>
      </c>
      <c r="B1398">
        <v>2025</v>
      </c>
      <c r="C1398" t="s">
        <v>29</v>
      </c>
      <c r="D1398">
        <v>5</v>
      </c>
      <c r="E1398" t="s">
        <v>13</v>
      </c>
      <c r="F1398" t="s">
        <v>17</v>
      </c>
      <c r="G1398" s="3">
        <v>327</v>
      </c>
      <c r="H1398" s="3">
        <v>60.77</v>
      </c>
      <c r="I1398" s="3">
        <v>19871.79</v>
      </c>
      <c r="J1398" s="3">
        <v>9.56</v>
      </c>
    </row>
    <row r="1399" spans="1:10" x14ac:dyDescent="0.25">
      <c r="A1399" s="2">
        <v>45797</v>
      </c>
      <c r="B1399">
        <v>2025</v>
      </c>
      <c r="C1399" t="s">
        <v>29</v>
      </c>
      <c r="D1399">
        <v>5</v>
      </c>
      <c r="E1399" t="s">
        <v>13</v>
      </c>
      <c r="F1399" t="s">
        <v>16</v>
      </c>
      <c r="G1399" s="3">
        <v>613</v>
      </c>
      <c r="H1399" s="3">
        <v>24.91</v>
      </c>
      <c r="I1399" s="3">
        <v>15269.83</v>
      </c>
      <c r="J1399" s="3">
        <v>5.94</v>
      </c>
    </row>
    <row r="1400" spans="1:10" x14ac:dyDescent="0.25">
      <c r="A1400" s="2">
        <v>45797</v>
      </c>
      <c r="B1400">
        <v>2025</v>
      </c>
      <c r="C1400" t="s">
        <v>29</v>
      </c>
      <c r="D1400">
        <v>5</v>
      </c>
      <c r="E1400" t="s">
        <v>13</v>
      </c>
      <c r="F1400" t="s">
        <v>15</v>
      </c>
      <c r="G1400" s="3">
        <v>745</v>
      </c>
      <c r="H1400" s="3">
        <v>82.55</v>
      </c>
      <c r="I1400" s="3">
        <v>61499.75</v>
      </c>
      <c r="J1400" s="3">
        <v>-12.99</v>
      </c>
    </row>
    <row r="1401" spans="1:10" x14ac:dyDescent="0.25">
      <c r="A1401" s="2">
        <v>45797</v>
      </c>
      <c r="B1401">
        <v>2025</v>
      </c>
      <c r="C1401" t="s">
        <v>29</v>
      </c>
      <c r="D1401">
        <v>5</v>
      </c>
      <c r="E1401" t="s">
        <v>13</v>
      </c>
      <c r="F1401" t="s">
        <v>22</v>
      </c>
      <c r="G1401" s="3">
        <v>215</v>
      </c>
      <c r="H1401" s="3">
        <v>104</v>
      </c>
      <c r="I1401" s="3">
        <v>22360</v>
      </c>
      <c r="J1401" s="3">
        <v>4.29</v>
      </c>
    </row>
    <row r="1402" spans="1:10" x14ac:dyDescent="0.25">
      <c r="A1402" s="2">
        <v>45797</v>
      </c>
      <c r="B1402">
        <v>2025</v>
      </c>
      <c r="C1402" t="s">
        <v>29</v>
      </c>
      <c r="D1402">
        <v>5</v>
      </c>
      <c r="E1402" t="s">
        <v>13</v>
      </c>
      <c r="F1402" t="s">
        <v>18</v>
      </c>
      <c r="G1402" s="3">
        <v>240</v>
      </c>
      <c r="H1402" s="3">
        <v>143.97999999999999</v>
      </c>
      <c r="I1402" s="3">
        <v>34555.199999999997</v>
      </c>
      <c r="J1402" s="3">
        <v>20.91</v>
      </c>
    </row>
    <row r="1403" spans="1:10" x14ac:dyDescent="0.25">
      <c r="A1403" s="2">
        <v>45797</v>
      </c>
      <c r="B1403">
        <v>2025</v>
      </c>
      <c r="C1403" t="s">
        <v>29</v>
      </c>
      <c r="D1403">
        <v>5</v>
      </c>
      <c r="E1403" t="s">
        <v>13</v>
      </c>
      <c r="F1403" t="s">
        <v>25</v>
      </c>
      <c r="G1403" s="3">
        <v>212</v>
      </c>
      <c r="H1403" s="3">
        <v>59.82</v>
      </c>
      <c r="I1403" s="3">
        <v>12681.84</v>
      </c>
      <c r="J1403" s="3">
        <v>0.24</v>
      </c>
    </row>
    <row r="1404" spans="1:10" x14ac:dyDescent="0.25">
      <c r="A1404" s="2">
        <v>45797</v>
      </c>
      <c r="B1404">
        <v>2025</v>
      </c>
      <c r="C1404" t="s">
        <v>29</v>
      </c>
      <c r="D1404">
        <v>5</v>
      </c>
      <c r="E1404" t="s">
        <v>23</v>
      </c>
      <c r="F1404" t="s">
        <v>17</v>
      </c>
      <c r="G1404" s="3">
        <v>439</v>
      </c>
      <c r="H1404" s="3">
        <v>49.02</v>
      </c>
      <c r="I1404" s="3">
        <v>21519.78</v>
      </c>
      <c r="J1404" s="3">
        <v>11.26</v>
      </c>
    </row>
    <row r="1405" spans="1:10" x14ac:dyDescent="0.25">
      <c r="A1405" s="2">
        <v>45797</v>
      </c>
      <c r="B1405">
        <v>2025</v>
      </c>
      <c r="C1405" t="s">
        <v>29</v>
      </c>
      <c r="D1405">
        <v>5</v>
      </c>
      <c r="E1405" t="s">
        <v>23</v>
      </c>
      <c r="F1405" t="s">
        <v>24</v>
      </c>
      <c r="G1405" s="3">
        <v>318</v>
      </c>
      <c r="H1405" s="3">
        <v>102.64</v>
      </c>
      <c r="I1405" s="3">
        <v>32639.52</v>
      </c>
      <c r="J1405" s="3">
        <v>-2.87</v>
      </c>
    </row>
    <row r="1406" spans="1:10" x14ac:dyDescent="0.25">
      <c r="A1406" s="2">
        <v>45797</v>
      </c>
      <c r="B1406">
        <v>2025</v>
      </c>
      <c r="C1406" t="s">
        <v>29</v>
      </c>
      <c r="D1406">
        <v>5</v>
      </c>
      <c r="E1406" t="s">
        <v>23</v>
      </c>
      <c r="F1406" t="s">
        <v>14</v>
      </c>
      <c r="G1406" s="3">
        <v>724</v>
      </c>
      <c r="H1406" s="3">
        <v>23.02</v>
      </c>
      <c r="I1406" s="3">
        <v>16666.48</v>
      </c>
      <c r="J1406" s="3">
        <v>12.17</v>
      </c>
    </row>
    <row r="1407" spans="1:10" x14ac:dyDescent="0.25">
      <c r="A1407" s="2">
        <v>45797</v>
      </c>
      <c r="B1407">
        <v>2025</v>
      </c>
      <c r="C1407" t="s">
        <v>29</v>
      </c>
      <c r="D1407">
        <v>5</v>
      </c>
      <c r="E1407" t="s">
        <v>23</v>
      </c>
      <c r="F1407" t="s">
        <v>15</v>
      </c>
      <c r="G1407" s="3">
        <v>619</v>
      </c>
      <c r="H1407" s="3">
        <v>143.1</v>
      </c>
      <c r="I1407" s="3">
        <v>88578.9</v>
      </c>
      <c r="J1407" s="3">
        <v>6.26</v>
      </c>
    </row>
    <row r="1408" spans="1:10" x14ac:dyDescent="0.25">
      <c r="A1408" s="2">
        <v>45797</v>
      </c>
      <c r="B1408">
        <v>2025</v>
      </c>
      <c r="C1408" t="s">
        <v>29</v>
      </c>
      <c r="D1408">
        <v>5</v>
      </c>
      <c r="E1408" t="s">
        <v>23</v>
      </c>
      <c r="F1408" t="s">
        <v>16</v>
      </c>
      <c r="G1408" s="3">
        <v>75</v>
      </c>
      <c r="H1408" s="3">
        <v>188.68</v>
      </c>
      <c r="I1408" s="3">
        <v>14151</v>
      </c>
      <c r="J1408" s="3">
        <v>-2.5299999999999998</v>
      </c>
    </row>
    <row r="1409" spans="1:10" x14ac:dyDescent="0.25">
      <c r="A1409" s="2">
        <v>45797</v>
      </c>
      <c r="B1409">
        <v>2025</v>
      </c>
      <c r="C1409" t="s">
        <v>29</v>
      </c>
      <c r="D1409">
        <v>5</v>
      </c>
      <c r="E1409" t="s">
        <v>23</v>
      </c>
      <c r="F1409" t="s">
        <v>18</v>
      </c>
      <c r="G1409" s="3">
        <v>195</v>
      </c>
      <c r="H1409" s="3">
        <v>79.78</v>
      </c>
      <c r="I1409" s="3">
        <v>15557.1</v>
      </c>
      <c r="J1409" s="3">
        <v>22.12</v>
      </c>
    </row>
    <row r="1410" spans="1:10" x14ac:dyDescent="0.25">
      <c r="A1410" s="2">
        <v>45797</v>
      </c>
      <c r="B1410">
        <v>2025</v>
      </c>
      <c r="C1410" t="s">
        <v>29</v>
      </c>
      <c r="D1410">
        <v>5</v>
      </c>
      <c r="E1410" t="s">
        <v>23</v>
      </c>
      <c r="F1410" t="s">
        <v>19</v>
      </c>
      <c r="G1410" s="3">
        <v>511</v>
      </c>
      <c r="H1410" s="3">
        <v>32.32</v>
      </c>
      <c r="I1410" s="3">
        <v>16515.52</v>
      </c>
      <c r="J1410" s="3">
        <v>1.71</v>
      </c>
    </row>
    <row r="1411" spans="1:10" x14ac:dyDescent="0.25">
      <c r="A1411" s="2">
        <v>45797</v>
      </c>
      <c r="B1411">
        <v>2025</v>
      </c>
      <c r="C1411" t="s">
        <v>29</v>
      </c>
      <c r="D1411">
        <v>5</v>
      </c>
      <c r="E1411" t="s">
        <v>23</v>
      </c>
      <c r="F1411" t="s">
        <v>20</v>
      </c>
      <c r="G1411" s="3">
        <v>448</v>
      </c>
      <c r="H1411" s="3">
        <v>130.30000000000001</v>
      </c>
      <c r="I1411" s="3">
        <v>58374.400000000001</v>
      </c>
      <c r="J1411" s="3">
        <v>22.54</v>
      </c>
    </row>
    <row r="1412" spans="1:10" x14ac:dyDescent="0.25">
      <c r="A1412" s="2">
        <v>45797</v>
      </c>
      <c r="B1412">
        <v>2025</v>
      </c>
      <c r="C1412" t="s">
        <v>29</v>
      </c>
      <c r="D1412">
        <v>5</v>
      </c>
      <c r="E1412" t="s">
        <v>23</v>
      </c>
      <c r="F1412" t="s">
        <v>21</v>
      </c>
      <c r="G1412" s="3">
        <v>468</v>
      </c>
      <c r="H1412" s="3">
        <v>33.82</v>
      </c>
      <c r="I1412" s="3">
        <v>15827.76</v>
      </c>
      <c r="J1412" s="3">
        <v>-0.81</v>
      </c>
    </row>
    <row r="1413" spans="1:10" x14ac:dyDescent="0.25">
      <c r="A1413" s="2">
        <v>45797</v>
      </c>
      <c r="B1413">
        <v>2025</v>
      </c>
      <c r="C1413" t="s">
        <v>29</v>
      </c>
      <c r="D1413">
        <v>5</v>
      </c>
      <c r="E1413" t="s">
        <v>23</v>
      </c>
      <c r="F1413" t="s">
        <v>22</v>
      </c>
      <c r="G1413" s="3">
        <v>661</v>
      </c>
      <c r="H1413" s="3">
        <v>142.63999999999999</v>
      </c>
      <c r="I1413" s="3">
        <v>94285.04</v>
      </c>
      <c r="J1413" s="3">
        <v>22.61</v>
      </c>
    </row>
    <row r="1414" spans="1:10" x14ac:dyDescent="0.25">
      <c r="A1414" s="2">
        <v>45797</v>
      </c>
      <c r="B1414">
        <v>2025</v>
      </c>
      <c r="C1414" t="s">
        <v>29</v>
      </c>
      <c r="D1414">
        <v>5</v>
      </c>
      <c r="E1414" t="s">
        <v>13</v>
      </c>
      <c r="F1414" t="s">
        <v>24</v>
      </c>
      <c r="G1414" s="3">
        <v>494</v>
      </c>
      <c r="H1414" s="3">
        <v>64.319999999999993</v>
      </c>
      <c r="I1414" s="3">
        <v>31774.080000000002</v>
      </c>
      <c r="J1414" s="3">
        <v>1.94</v>
      </c>
    </row>
    <row r="1415" spans="1:10" x14ac:dyDescent="0.25">
      <c r="A1415" s="2">
        <v>45797</v>
      </c>
      <c r="B1415">
        <v>2025</v>
      </c>
      <c r="C1415" t="s">
        <v>29</v>
      </c>
      <c r="D1415">
        <v>5</v>
      </c>
      <c r="E1415" t="s">
        <v>23</v>
      </c>
      <c r="F1415" t="s">
        <v>12</v>
      </c>
      <c r="G1415" s="3">
        <v>494</v>
      </c>
      <c r="H1415" s="3">
        <v>123.77</v>
      </c>
      <c r="I1415" s="3">
        <v>61142.38</v>
      </c>
      <c r="J1415" s="3">
        <v>15.48</v>
      </c>
    </row>
    <row r="1416" spans="1:10" x14ac:dyDescent="0.25">
      <c r="A1416" s="2">
        <v>45797</v>
      </c>
      <c r="B1416">
        <v>2025</v>
      </c>
      <c r="C1416" t="s">
        <v>29</v>
      </c>
      <c r="D1416">
        <v>5</v>
      </c>
      <c r="E1416" t="s">
        <v>13</v>
      </c>
      <c r="F1416" t="s">
        <v>12</v>
      </c>
      <c r="G1416" s="3">
        <v>157</v>
      </c>
      <c r="H1416" s="3">
        <v>38.590000000000003</v>
      </c>
      <c r="I1416" s="3">
        <v>6058.63</v>
      </c>
      <c r="J1416" s="3">
        <v>-8.1</v>
      </c>
    </row>
    <row r="1417" spans="1:10" x14ac:dyDescent="0.25">
      <c r="A1417" s="2">
        <v>45797</v>
      </c>
      <c r="B1417">
        <v>2025</v>
      </c>
      <c r="C1417" t="s">
        <v>29</v>
      </c>
      <c r="D1417">
        <v>5</v>
      </c>
      <c r="E1417" t="s">
        <v>23</v>
      </c>
      <c r="F1417" t="s">
        <v>25</v>
      </c>
      <c r="G1417" s="3">
        <v>93</v>
      </c>
      <c r="H1417" s="3">
        <v>166.64</v>
      </c>
      <c r="I1417" s="3">
        <v>15497.52</v>
      </c>
      <c r="J1417" s="3">
        <v>9.4700000000000006</v>
      </c>
    </row>
    <row r="1418" spans="1:10" x14ac:dyDescent="0.25">
      <c r="A1418" s="2">
        <v>45797</v>
      </c>
      <c r="B1418">
        <v>2025</v>
      </c>
      <c r="C1418" t="s">
        <v>29</v>
      </c>
      <c r="D1418">
        <v>5</v>
      </c>
      <c r="E1418" t="s">
        <v>26</v>
      </c>
      <c r="F1418" t="s">
        <v>22</v>
      </c>
      <c r="G1418" s="3">
        <v>634</v>
      </c>
      <c r="H1418" s="3">
        <v>181.23</v>
      </c>
      <c r="I1418" s="3">
        <v>114899.82</v>
      </c>
      <c r="J1418" s="3">
        <v>16.34</v>
      </c>
    </row>
    <row r="1419" spans="1:10" x14ac:dyDescent="0.25">
      <c r="A1419" s="2">
        <v>45797</v>
      </c>
      <c r="B1419">
        <v>2025</v>
      </c>
      <c r="C1419" t="s">
        <v>29</v>
      </c>
      <c r="D1419">
        <v>5</v>
      </c>
      <c r="E1419" t="s">
        <v>11</v>
      </c>
      <c r="F1419" t="s">
        <v>12</v>
      </c>
      <c r="G1419" s="3">
        <v>628</v>
      </c>
      <c r="H1419" s="3">
        <v>64.400000000000006</v>
      </c>
      <c r="I1419" s="3">
        <v>40443.199999999997</v>
      </c>
      <c r="J1419" s="3">
        <v>3.84</v>
      </c>
    </row>
    <row r="1420" spans="1:10" x14ac:dyDescent="0.25">
      <c r="A1420" s="2">
        <v>45797</v>
      </c>
      <c r="B1420">
        <v>2025</v>
      </c>
      <c r="C1420" t="s">
        <v>29</v>
      </c>
      <c r="D1420">
        <v>5</v>
      </c>
      <c r="E1420" t="s">
        <v>11</v>
      </c>
      <c r="F1420" t="s">
        <v>24</v>
      </c>
      <c r="G1420" s="3">
        <v>122</v>
      </c>
      <c r="H1420" s="3">
        <v>155.21</v>
      </c>
      <c r="I1420" s="3">
        <v>18935.62</v>
      </c>
      <c r="J1420" s="3">
        <v>15.15</v>
      </c>
    </row>
    <row r="1421" spans="1:10" x14ac:dyDescent="0.25">
      <c r="A1421" s="2">
        <v>45797</v>
      </c>
      <c r="B1421">
        <v>2025</v>
      </c>
      <c r="C1421" t="s">
        <v>29</v>
      </c>
      <c r="D1421">
        <v>5</v>
      </c>
      <c r="E1421" t="s">
        <v>11</v>
      </c>
      <c r="F1421" t="s">
        <v>14</v>
      </c>
      <c r="G1421" s="3">
        <v>59</v>
      </c>
      <c r="H1421" s="3">
        <v>51.89</v>
      </c>
      <c r="I1421" s="3">
        <v>3061.51</v>
      </c>
      <c r="J1421" s="3">
        <v>-3.23</v>
      </c>
    </row>
    <row r="1422" spans="1:10" x14ac:dyDescent="0.25">
      <c r="A1422" s="2">
        <v>45797</v>
      </c>
      <c r="B1422">
        <v>2025</v>
      </c>
      <c r="C1422" t="s">
        <v>29</v>
      </c>
      <c r="D1422">
        <v>5</v>
      </c>
      <c r="E1422" t="s">
        <v>11</v>
      </c>
      <c r="F1422" t="s">
        <v>15</v>
      </c>
      <c r="G1422" s="3">
        <v>244</v>
      </c>
      <c r="H1422" s="3">
        <v>156.27000000000001</v>
      </c>
      <c r="I1422" s="3">
        <v>38129.879999999997</v>
      </c>
      <c r="J1422" s="3">
        <v>-12.78</v>
      </c>
    </row>
    <row r="1423" spans="1:10" x14ac:dyDescent="0.25">
      <c r="A1423" s="2">
        <v>45797</v>
      </c>
      <c r="B1423">
        <v>2025</v>
      </c>
      <c r="C1423" t="s">
        <v>29</v>
      </c>
      <c r="D1423">
        <v>5</v>
      </c>
      <c r="E1423" t="s">
        <v>11</v>
      </c>
      <c r="F1423" t="s">
        <v>16</v>
      </c>
      <c r="G1423" s="3">
        <v>320</v>
      </c>
      <c r="H1423" s="3">
        <v>103.23</v>
      </c>
      <c r="I1423" s="3">
        <v>33033.599999999999</v>
      </c>
      <c r="J1423" s="3">
        <v>19.600000000000001</v>
      </c>
    </row>
    <row r="1424" spans="1:10" x14ac:dyDescent="0.25">
      <c r="A1424" s="2">
        <v>45797</v>
      </c>
      <c r="B1424">
        <v>2025</v>
      </c>
      <c r="C1424" t="s">
        <v>29</v>
      </c>
      <c r="D1424">
        <v>5</v>
      </c>
      <c r="E1424" t="s">
        <v>11</v>
      </c>
      <c r="F1424" t="s">
        <v>17</v>
      </c>
      <c r="G1424" s="3">
        <v>605</v>
      </c>
      <c r="H1424" s="3">
        <v>94.02</v>
      </c>
      <c r="I1424" s="3">
        <v>56882.1</v>
      </c>
      <c r="J1424" s="3">
        <v>1.1000000000000001</v>
      </c>
    </row>
    <row r="1425" spans="1:10" x14ac:dyDescent="0.25">
      <c r="A1425" s="2">
        <v>45797</v>
      </c>
      <c r="B1425">
        <v>2025</v>
      </c>
      <c r="C1425" t="s">
        <v>29</v>
      </c>
      <c r="D1425">
        <v>5</v>
      </c>
      <c r="E1425" t="s">
        <v>11</v>
      </c>
      <c r="F1425" t="s">
        <v>18</v>
      </c>
      <c r="G1425" s="3">
        <v>400</v>
      </c>
      <c r="H1425" s="3">
        <v>84.22</v>
      </c>
      <c r="I1425" s="3">
        <v>33688</v>
      </c>
      <c r="J1425" s="3">
        <v>15.3</v>
      </c>
    </row>
    <row r="1426" spans="1:10" x14ac:dyDescent="0.25">
      <c r="A1426" s="2">
        <v>45797</v>
      </c>
      <c r="B1426">
        <v>2025</v>
      </c>
      <c r="C1426" t="s">
        <v>29</v>
      </c>
      <c r="D1426">
        <v>5</v>
      </c>
      <c r="E1426" t="s">
        <v>11</v>
      </c>
      <c r="F1426" t="s">
        <v>19</v>
      </c>
      <c r="G1426" s="3">
        <v>181</v>
      </c>
      <c r="H1426" s="3">
        <v>76.5</v>
      </c>
      <c r="I1426" s="3">
        <v>13846.5</v>
      </c>
      <c r="J1426" s="3">
        <v>12.64</v>
      </c>
    </row>
    <row r="1427" spans="1:10" x14ac:dyDescent="0.25">
      <c r="A1427" s="2">
        <v>45797</v>
      </c>
      <c r="B1427">
        <v>2025</v>
      </c>
      <c r="C1427" t="s">
        <v>29</v>
      </c>
      <c r="D1427">
        <v>5</v>
      </c>
      <c r="E1427" t="s">
        <v>11</v>
      </c>
      <c r="F1427" t="s">
        <v>20</v>
      </c>
      <c r="G1427" s="3">
        <v>178</v>
      </c>
      <c r="H1427" s="3">
        <v>99.21</v>
      </c>
      <c r="I1427" s="3">
        <v>17659.38</v>
      </c>
      <c r="J1427" s="3">
        <v>14.19</v>
      </c>
    </row>
    <row r="1428" spans="1:10" x14ac:dyDescent="0.25">
      <c r="A1428" s="2">
        <v>45797</v>
      </c>
      <c r="B1428">
        <v>2025</v>
      </c>
      <c r="C1428" t="s">
        <v>29</v>
      </c>
      <c r="D1428">
        <v>5</v>
      </c>
      <c r="E1428" t="s">
        <v>11</v>
      </c>
      <c r="F1428" t="s">
        <v>21</v>
      </c>
      <c r="G1428" s="3">
        <v>427</v>
      </c>
      <c r="H1428" s="3">
        <v>128.68</v>
      </c>
      <c r="I1428" s="3">
        <v>54946.36</v>
      </c>
      <c r="J1428" s="3">
        <v>19.53</v>
      </c>
    </row>
    <row r="1429" spans="1:10" x14ac:dyDescent="0.25">
      <c r="A1429" s="2">
        <v>45797</v>
      </c>
      <c r="B1429">
        <v>2025</v>
      </c>
      <c r="C1429" t="s">
        <v>29</v>
      </c>
      <c r="D1429">
        <v>5</v>
      </c>
      <c r="E1429" t="s">
        <v>11</v>
      </c>
      <c r="F1429" t="s">
        <v>22</v>
      </c>
      <c r="G1429" s="3">
        <v>677</v>
      </c>
      <c r="H1429" s="3">
        <v>41.58</v>
      </c>
      <c r="I1429" s="3">
        <v>28149.66</v>
      </c>
      <c r="J1429" s="3">
        <v>14.4</v>
      </c>
    </row>
    <row r="1430" spans="1:10" x14ac:dyDescent="0.25">
      <c r="A1430" s="2">
        <v>45797</v>
      </c>
      <c r="B1430">
        <v>2025</v>
      </c>
      <c r="C1430" t="s">
        <v>29</v>
      </c>
      <c r="D1430">
        <v>5</v>
      </c>
      <c r="E1430" t="s">
        <v>26</v>
      </c>
      <c r="F1430" t="s">
        <v>25</v>
      </c>
      <c r="G1430" s="3">
        <v>409</v>
      </c>
      <c r="H1430" s="3">
        <v>25.84</v>
      </c>
      <c r="I1430" s="3">
        <v>10568.56</v>
      </c>
      <c r="J1430" s="3">
        <v>11.35</v>
      </c>
    </row>
    <row r="1431" spans="1:10" x14ac:dyDescent="0.25">
      <c r="A1431" s="2">
        <v>45797</v>
      </c>
      <c r="B1431">
        <v>2025</v>
      </c>
      <c r="C1431" t="s">
        <v>29</v>
      </c>
      <c r="D1431">
        <v>5</v>
      </c>
      <c r="E1431" t="s">
        <v>26</v>
      </c>
      <c r="F1431" t="s">
        <v>12</v>
      </c>
      <c r="G1431" s="3">
        <v>299</v>
      </c>
      <c r="H1431" s="3">
        <v>44.68</v>
      </c>
      <c r="I1431" s="3">
        <v>13359.32</v>
      </c>
      <c r="J1431" s="3">
        <v>14.36</v>
      </c>
    </row>
    <row r="1432" spans="1:10" x14ac:dyDescent="0.25">
      <c r="A1432" s="2">
        <v>45797</v>
      </c>
      <c r="B1432">
        <v>2025</v>
      </c>
      <c r="C1432" t="s">
        <v>29</v>
      </c>
      <c r="D1432">
        <v>5</v>
      </c>
      <c r="E1432" t="s">
        <v>26</v>
      </c>
      <c r="F1432" t="s">
        <v>24</v>
      </c>
      <c r="G1432" s="3">
        <v>74</v>
      </c>
      <c r="H1432" s="3">
        <v>49.59</v>
      </c>
      <c r="I1432" s="3">
        <v>3669.66</v>
      </c>
      <c r="J1432" s="3">
        <v>-10.34</v>
      </c>
    </row>
    <row r="1433" spans="1:10" x14ac:dyDescent="0.25">
      <c r="A1433" s="2">
        <v>45797</v>
      </c>
      <c r="B1433">
        <v>2025</v>
      </c>
      <c r="C1433" t="s">
        <v>29</v>
      </c>
      <c r="D1433">
        <v>5</v>
      </c>
      <c r="E1433" t="s">
        <v>26</v>
      </c>
      <c r="F1433" t="s">
        <v>14</v>
      </c>
      <c r="G1433" s="3">
        <v>119</v>
      </c>
      <c r="H1433" s="3">
        <v>182.43</v>
      </c>
      <c r="I1433" s="3">
        <v>21709.17</v>
      </c>
      <c r="J1433" s="3">
        <v>-1.24</v>
      </c>
    </row>
    <row r="1434" spans="1:10" x14ac:dyDescent="0.25">
      <c r="A1434" s="2">
        <v>45797</v>
      </c>
      <c r="B1434">
        <v>2025</v>
      </c>
      <c r="C1434" t="s">
        <v>29</v>
      </c>
      <c r="D1434">
        <v>5</v>
      </c>
      <c r="E1434" t="s">
        <v>26</v>
      </c>
      <c r="F1434" t="s">
        <v>15</v>
      </c>
      <c r="G1434" s="3">
        <v>352</v>
      </c>
      <c r="H1434" s="3">
        <v>22.73</v>
      </c>
      <c r="I1434" s="3">
        <v>8000.96</v>
      </c>
      <c r="J1434" s="3">
        <v>8.26</v>
      </c>
    </row>
    <row r="1435" spans="1:10" x14ac:dyDescent="0.25">
      <c r="A1435" s="2">
        <v>45797</v>
      </c>
      <c r="B1435">
        <v>2025</v>
      </c>
      <c r="C1435" t="s">
        <v>29</v>
      </c>
      <c r="D1435">
        <v>5</v>
      </c>
      <c r="E1435" t="s">
        <v>26</v>
      </c>
      <c r="F1435" t="s">
        <v>16</v>
      </c>
      <c r="G1435" s="3">
        <v>710</v>
      </c>
      <c r="H1435" s="3">
        <v>167.78</v>
      </c>
      <c r="I1435" s="3">
        <v>119123.8</v>
      </c>
      <c r="J1435" s="3">
        <v>7.66</v>
      </c>
    </row>
    <row r="1436" spans="1:10" x14ac:dyDescent="0.25">
      <c r="A1436" s="2">
        <v>45797</v>
      </c>
      <c r="B1436">
        <v>2025</v>
      </c>
      <c r="C1436" t="s">
        <v>29</v>
      </c>
      <c r="D1436">
        <v>5</v>
      </c>
      <c r="E1436" t="s">
        <v>26</v>
      </c>
      <c r="F1436" t="s">
        <v>17</v>
      </c>
      <c r="G1436" s="3">
        <v>712</v>
      </c>
      <c r="H1436" s="3">
        <v>145.94</v>
      </c>
      <c r="I1436" s="3">
        <v>103909.28</v>
      </c>
      <c r="J1436" s="3">
        <v>1.43</v>
      </c>
    </row>
    <row r="1437" spans="1:10" x14ac:dyDescent="0.25">
      <c r="A1437" s="2">
        <v>45797</v>
      </c>
      <c r="B1437">
        <v>2025</v>
      </c>
      <c r="C1437" t="s">
        <v>29</v>
      </c>
      <c r="D1437">
        <v>5</v>
      </c>
      <c r="E1437" t="s">
        <v>26</v>
      </c>
      <c r="F1437" t="s">
        <v>18</v>
      </c>
      <c r="G1437" s="3">
        <v>187</v>
      </c>
      <c r="H1437" s="3">
        <v>78.819999999999993</v>
      </c>
      <c r="I1437" s="3">
        <v>14739.34</v>
      </c>
      <c r="J1437" s="3">
        <v>-14.57</v>
      </c>
    </row>
    <row r="1438" spans="1:10" x14ac:dyDescent="0.25">
      <c r="A1438" s="2">
        <v>45797</v>
      </c>
      <c r="B1438">
        <v>2025</v>
      </c>
      <c r="C1438" t="s">
        <v>29</v>
      </c>
      <c r="D1438">
        <v>5</v>
      </c>
      <c r="E1438" t="s">
        <v>26</v>
      </c>
      <c r="F1438" t="s">
        <v>19</v>
      </c>
      <c r="G1438" s="3">
        <v>552</v>
      </c>
      <c r="H1438" s="3">
        <v>65.709999999999994</v>
      </c>
      <c r="I1438" s="3">
        <v>36271.919999999998</v>
      </c>
      <c r="J1438" s="3">
        <v>16.2</v>
      </c>
    </row>
    <row r="1439" spans="1:10" x14ac:dyDescent="0.25">
      <c r="A1439" s="2">
        <v>45797</v>
      </c>
      <c r="B1439">
        <v>2025</v>
      </c>
      <c r="C1439" t="s">
        <v>29</v>
      </c>
      <c r="D1439">
        <v>5</v>
      </c>
      <c r="E1439" t="s">
        <v>26</v>
      </c>
      <c r="F1439" t="s">
        <v>20</v>
      </c>
      <c r="G1439" s="3">
        <v>286</v>
      </c>
      <c r="H1439" s="3">
        <v>33.619999999999997</v>
      </c>
      <c r="I1439" s="3">
        <v>9615.32</v>
      </c>
      <c r="J1439" s="3">
        <v>-0.54</v>
      </c>
    </row>
    <row r="1440" spans="1:10" x14ac:dyDescent="0.25">
      <c r="A1440" s="2">
        <v>45797</v>
      </c>
      <c r="B1440">
        <v>2025</v>
      </c>
      <c r="C1440" t="s">
        <v>29</v>
      </c>
      <c r="D1440">
        <v>5</v>
      </c>
      <c r="E1440" t="s">
        <v>26</v>
      </c>
      <c r="F1440" t="s">
        <v>21</v>
      </c>
      <c r="G1440" s="3">
        <v>492</v>
      </c>
      <c r="H1440" s="3">
        <v>196.5</v>
      </c>
      <c r="I1440" s="3">
        <v>96678</v>
      </c>
      <c r="J1440" s="3">
        <v>-6.41</v>
      </c>
    </row>
    <row r="1441" spans="1:10" x14ac:dyDescent="0.25">
      <c r="A1441" s="2">
        <v>45797</v>
      </c>
      <c r="B1441">
        <v>2025</v>
      </c>
      <c r="C1441" t="s">
        <v>29</v>
      </c>
      <c r="D1441">
        <v>5</v>
      </c>
      <c r="E1441" t="s">
        <v>11</v>
      </c>
      <c r="F1441" t="s">
        <v>25</v>
      </c>
      <c r="G1441" s="3">
        <v>530</v>
      </c>
      <c r="H1441" s="3">
        <v>41.05</v>
      </c>
      <c r="I1441" s="3">
        <v>21756.5</v>
      </c>
      <c r="J1441" s="3">
        <v>12.29</v>
      </c>
    </row>
    <row r="1442" spans="1:10" x14ac:dyDescent="0.25">
      <c r="A1442" s="2">
        <v>45827</v>
      </c>
      <c r="B1442">
        <v>2025</v>
      </c>
      <c r="C1442" t="s">
        <v>30</v>
      </c>
      <c r="D1442">
        <v>6</v>
      </c>
      <c r="E1442" t="s">
        <v>13</v>
      </c>
      <c r="F1442" t="s">
        <v>21</v>
      </c>
      <c r="G1442" s="3">
        <v>552</v>
      </c>
      <c r="H1442" s="3">
        <v>67.61</v>
      </c>
      <c r="I1442" s="3">
        <v>37320.720000000001</v>
      </c>
      <c r="J1442" s="3">
        <v>-3.8</v>
      </c>
    </row>
    <row r="1443" spans="1:10" x14ac:dyDescent="0.25">
      <c r="A1443" s="2">
        <v>45827</v>
      </c>
      <c r="B1443">
        <v>2025</v>
      </c>
      <c r="C1443" t="s">
        <v>30</v>
      </c>
      <c r="D1443">
        <v>6</v>
      </c>
      <c r="E1443" t="s">
        <v>13</v>
      </c>
      <c r="F1443" t="s">
        <v>20</v>
      </c>
      <c r="G1443" s="3">
        <v>646</v>
      </c>
      <c r="H1443" s="3">
        <v>170.29</v>
      </c>
      <c r="I1443" s="3">
        <v>110007.34</v>
      </c>
      <c r="J1443" s="3">
        <v>23.99</v>
      </c>
    </row>
    <row r="1444" spans="1:10" x14ac:dyDescent="0.25">
      <c r="A1444" s="2">
        <v>45827</v>
      </c>
      <c r="B1444">
        <v>2025</v>
      </c>
      <c r="C1444" t="s">
        <v>30</v>
      </c>
      <c r="D1444">
        <v>6</v>
      </c>
      <c r="E1444" t="s">
        <v>13</v>
      </c>
      <c r="F1444" t="s">
        <v>19</v>
      </c>
      <c r="G1444" s="3">
        <v>787</v>
      </c>
      <c r="H1444" s="3">
        <v>33.83</v>
      </c>
      <c r="I1444" s="3">
        <v>26624.21</v>
      </c>
      <c r="J1444" s="3">
        <v>-5.6</v>
      </c>
    </row>
    <row r="1445" spans="1:10" x14ac:dyDescent="0.25">
      <c r="A1445" s="2">
        <v>45827</v>
      </c>
      <c r="B1445">
        <v>2025</v>
      </c>
      <c r="C1445" t="s">
        <v>30</v>
      </c>
      <c r="D1445">
        <v>6</v>
      </c>
      <c r="E1445" t="s">
        <v>13</v>
      </c>
      <c r="F1445" t="s">
        <v>18</v>
      </c>
      <c r="G1445" s="3">
        <v>74</v>
      </c>
      <c r="H1445" s="3">
        <v>139.11000000000001</v>
      </c>
      <c r="I1445" s="3">
        <v>10294.14</v>
      </c>
      <c r="J1445" s="3">
        <v>9.1</v>
      </c>
    </row>
    <row r="1446" spans="1:10" x14ac:dyDescent="0.25">
      <c r="A1446" s="2">
        <v>45827</v>
      </c>
      <c r="B1446">
        <v>2025</v>
      </c>
      <c r="C1446" t="s">
        <v>30</v>
      </c>
      <c r="D1446">
        <v>6</v>
      </c>
      <c r="E1446" t="s">
        <v>13</v>
      </c>
      <c r="F1446" t="s">
        <v>24</v>
      </c>
      <c r="G1446" s="3">
        <v>174</v>
      </c>
      <c r="H1446" s="3">
        <v>60.08</v>
      </c>
      <c r="I1446" s="3">
        <v>10453.92</v>
      </c>
      <c r="J1446" s="3">
        <v>-2.71</v>
      </c>
    </row>
    <row r="1447" spans="1:10" x14ac:dyDescent="0.25">
      <c r="A1447" s="2">
        <v>45827</v>
      </c>
      <c r="B1447">
        <v>2025</v>
      </c>
      <c r="C1447" t="s">
        <v>30</v>
      </c>
      <c r="D1447">
        <v>6</v>
      </c>
      <c r="E1447" t="s">
        <v>13</v>
      </c>
      <c r="F1447" t="s">
        <v>16</v>
      </c>
      <c r="G1447" s="3">
        <v>635</v>
      </c>
      <c r="H1447" s="3">
        <v>181.63</v>
      </c>
      <c r="I1447" s="3">
        <v>115335.05</v>
      </c>
      <c r="J1447" s="3">
        <v>-11.63</v>
      </c>
    </row>
    <row r="1448" spans="1:10" x14ac:dyDescent="0.25">
      <c r="A1448" s="2">
        <v>45827</v>
      </c>
      <c r="B1448">
        <v>2025</v>
      </c>
      <c r="C1448" t="s">
        <v>30</v>
      </c>
      <c r="D1448">
        <v>6</v>
      </c>
      <c r="E1448" t="s">
        <v>13</v>
      </c>
      <c r="F1448" t="s">
        <v>15</v>
      </c>
      <c r="G1448" s="3">
        <v>286</v>
      </c>
      <c r="H1448" s="3">
        <v>121.78</v>
      </c>
      <c r="I1448" s="3">
        <v>34829.08</v>
      </c>
      <c r="J1448" s="3">
        <v>2.69</v>
      </c>
    </row>
    <row r="1449" spans="1:10" x14ac:dyDescent="0.25">
      <c r="A1449" s="2">
        <v>45827</v>
      </c>
      <c r="B1449">
        <v>2025</v>
      </c>
      <c r="C1449" t="s">
        <v>30</v>
      </c>
      <c r="D1449">
        <v>6</v>
      </c>
      <c r="E1449" t="s">
        <v>13</v>
      </c>
      <c r="F1449" t="s">
        <v>14</v>
      </c>
      <c r="G1449" s="3">
        <v>305</v>
      </c>
      <c r="H1449" s="3">
        <v>185.05</v>
      </c>
      <c r="I1449" s="3">
        <v>56440.25</v>
      </c>
      <c r="J1449" s="3">
        <v>16.05</v>
      </c>
    </row>
    <row r="1450" spans="1:10" x14ac:dyDescent="0.25">
      <c r="A1450" s="2">
        <v>45827</v>
      </c>
      <c r="B1450">
        <v>2025</v>
      </c>
      <c r="C1450" t="s">
        <v>30</v>
      </c>
      <c r="D1450">
        <v>6</v>
      </c>
      <c r="E1450" t="s">
        <v>13</v>
      </c>
      <c r="F1450" t="s">
        <v>22</v>
      </c>
      <c r="G1450" s="3">
        <v>307</v>
      </c>
      <c r="H1450" s="3">
        <v>186.76</v>
      </c>
      <c r="I1450" s="3">
        <v>57335.32</v>
      </c>
      <c r="J1450" s="3">
        <v>1.79</v>
      </c>
    </row>
    <row r="1451" spans="1:10" x14ac:dyDescent="0.25">
      <c r="A1451" s="2">
        <v>45827</v>
      </c>
      <c r="B1451">
        <v>2025</v>
      </c>
      <c r="C1451" t="s">
        <v>30</v>
      </c>
      <c r="D1451">
        <v>6</v>
      </c>
      <c r="E1451" t="s">
        <v>13</v>
      </c>
      <c r="F1451" t="s">
        <v>17</v>
      </c>
      <c r="G1451" s="3">
        <v>363</v>
      </c>
      <c r="H1451" s="3">
        <v>81.3</v>
      </c>
      <c r="I1451" s="3">
        <v>29511.9</v>
      </c>
      <c r="J1451" s="3">
        <v>17.2</v>
      </c>
    </row>
    <row r="1452" spans="1:10" x14ac:dyDescent="0.25">
      <c r="A1452" s="2">
        <v>45827</v>
      </c>
      <c r="B1452">
        <v>2025</v>
      </c>
      <c r="C1452" t="s">
        <v>30</v>
      </c>
      <c r="D1452">
        <v>6</v>
      </c>
      <c r="E1452" t="s">
        <v>13</v>
      </c>
      <c r="F1452" t="s">
        <v>25</v>
      </c>
      <c r="G1452" s="3">
        <v>103</v>
      </c>
      <c r="H1452" s="3">
        <v>58.47</v>
      </c>
      <c r="I1452" s="3">
        <v>6022.41</v>
      </c>
      <c r="J1452" s="3">
        <v>1.8</v>
      </c>
    </row>
    <row r="1453" spans="1:10" x14ac:dyDescent="0.25">
      <c r="A1453" s="2">
        <v>45827</v>
      </c>
      <c r="B1453">
        <v>2025</v>
      </c>
      <c r="C1453" t="s">
        <v>30</v>
      </c>
      <c r="D1453">
        <v>6</v>
      </c>
      <c r="E1453" t="s">
        <v>23</v>
      </c>
      <c r="F1453" t="s">
        <v>16</v>
      </c>
      <c r="G1453" s="3">
        <v>691</v>
      </c>
      <c r="H1453" s="3">
        <v>31.14</v>
      </c>
      <c r="I1453" s="3">
        <v>21517.74</v>
      </c>
      <c r="J1453" s="3">
        <v>6.41</v>
      </c>
    </row>
    <row r="1454" spans="1:10" x14ac:dyDescent="0.25">
      <c r="A1454" s="2">
        <v>45827</v>
      </c>
      <c r="B1454">
        <v>2025</v>
      </c>
      <c r="C1454" t="s">
        <v>30</v>
      </c>
      <c r="D1454">
        <v>6</v>
      </c>
      <c r="E1454" t="s">
        <v>23</v>
      </c>
      <c r="F1454" t="s">
        <v>24</v>
      </c>
      <c r="G1454" s="3">
        <v>705</v>
      </c>
      <c r="H1454" s="3">
        <v>22.03</v>
      </c>
      <c r="I1454" s="3">
        <v>15531.15</v>
      </c>
      <c r="J1454" s="3">
        <v>16.489999999999998</v>
      </c>
    </row>
    <row r="1455" spans="1:10" x14ac:dyDescent="0.25">
      <c r="A1455" s="2">
        <v>45827</v>
      </c>
      <c r="B1455">
        <v>2025</v>
      </c>
      <c r="C1455" t="s">
        <v>30</v>
      </c>
      <c r="D1455">
        <v>6</v>
      </c>
      <c r="E1455" t="s">
        <v>23</v>
      </c>
      <c r="F1455" t="s">
        <v>14</v>
      </c>
      <c r="G1455" s="3">
        <v>480</v>
      </c>
      <c r="H1455" s="3">
        <v>64.62</v>
      </c>
      <c r="I1455" s="3">
        <v>31017.599999999999</v>
      </c>
      <c r="J1455" s="3">
        <v>12.91</v>
      </c>
    </row>
    <row r="1456" spans="1:10" x14ac:dyDescent="0.25">
      <c r="A1456" s="2">
        <v>45827</v>
      </c>
      <c r="B1456">
        <v>2025</v>
      </c>
      <c r="C1456" t="s">
        <v>30</v>
      </c>
      <c r="D1456">
        <v>6</v>
      </c>
      <c r="E1456" t="s">
        <v>23</v>
      </c>
      <c r="F1456" t="s">
        <v>15</v>
      </c>
      <c r="G1456" s="3">
        <v>749</v>
      </c>
      <c r="H1456" s="3">
        <v>91.58</v>
      </c>
      <c r="I1456" s="3">
        <v>68593.42</v>
      </c>
      <c r="J1456" s="3">
        <v>23.95</v>
      </c>
    </row>
    <row r="1457" spans="1:10" x14ac:dyDescent="0.25">
      <c r="A1457" s="2">
        <v>45827</v>
      </c>
      <c r="B1457">
        <v>2025</v>
      </c>
      <c r="C1457" t="s">
        <v>30</v>
      </c>
      <c r="D1457">
        <v>6</v>
      </c>
      <c r="E1457" t="s">
        <v>23</v>
      </c>
      <c r="F1457" t="s">
        <v>17</v>
      </c>
      <c r="G1457" s="3">
        <v>640</v>
      </c>
      <c r="H1457" s="3">
        <v>68.87</v>
      </c>
      <c r="I1457" s="3">
        <v>44076.800000000003</v>
      </c>
      <c r="J1457" s="3">
        <v>21.17</v>
      </c>
    </row>
    <row r="1458" spans="1:10" x14ac:dyDescent="0.25">
      <c r="A1458" s="2">
        <v>45827</v>
      </c>
      <c r="B1458">
        <v>2025</v>
      </c>
      <c r="C1458" t="s">
        <v>30</v>
      </c>
      <c r="D1458">
        <v>6</v>
      </c>
      <c r="E1458" t="s">
        <v>23</v>
      </c>
      <c r="F1458" t="s">
        <v>18</v>
      </c>
      <c r="G1458" s="3">
        <v>624</v>
      </c>
      <c r="H1458" s="3">
        <v>29.1</v>
      </c>
      <c r="I1458" s="3">
        <v>18158.400000000001</v>
      </c>
      <c r="J1458" s="3">
        <v>2.04</v>
      </c>
    </row>
    <row r="1459" spans="1:10" x14ac:dyDescent="0.25">
      <c r="A1459" s="2">
        <v>45827</v>
      </c>
      <c r="B1459">
        <v>2025</v>
      </c>
      <c r="C1459" t="s">
        <v>30</v>
      </c>
      <c r="D1459">
        <v>6</v>
      </c>
      <c r="E1459" t="s">
        <v>23</v>
      </c>
      <c r="F1459" t="s">
        <v>19</v>
      </c>
      <c r="G1459" s="3">
        <v>604</v>
      </c>
      <c r="H1459" s="3">
        <v>165.02</v>
      </c>
      <c r="I1459" s="3">
        <v>99672.08</v>
      </c>
      <c r="J1459" s="3">
        <v>-6.03</v>
      </c>
    </row>
    <row r="1460" spans="1:10" x14ac:dyDescent="0.25">
      <c r="A1460" s="2">
        <v>45827</v>
      </c>
      <c r="B1460">
        <v>2025</v>
      </c>
      <c r="C1460" t="s">
        <v>30</v>
      </c>
      <c r="D1460">
        <v>6</v>
      </c>
      <c r="E1460" t="s">
        <v>23</v>
      </c>
      <c r="F1460" t="s">
        <v>20</v>
      </c>
      <c r="G1460" s="3">
        <v>425</v>
      </c>
      <c r="H1460" s="3">
        <v>66.69</v>
      </c>
      <c r="I1460" s="3">
        <v>28343.25</v>
      </c>
      <c r="J1460" s="3">
        <v>-11.5</v>
      </c>
    </row>
    <row r="1461" spans="1:10" x14ac:dyDescent="0.25">
      <c r="A1461" s="2">
        <v>45827</v>
      </c>
      <c r="B1461">
        <v>2025</v>
      </c>
      <c r="C1461" t="s">
        <v>30</v>
      </c>
      <c r="D1461">
        <v>6</v>
      </c>
      <c r="E1461" t="s">
        <v>23</v>
      </c>
      <c r="F1461" t="s">
        <v>21</v>
      </c>
      <c r="G1461" s="3">
        <v>139</v>
      </c>
      <c r="H1461" s="3">
        <v>37.159999999999997</v>
      </c>
      <c r="I1461" s="3">
        <v>5165.24</v>
      </c>
      <c r="J1461" s="3">
        <v>3</v>
      </c>
    </row>
    <row r="1462" spans="1:10" x14ac:dyDescent="0.25">
      <c r="A1462" s="2">
        <v>45827</v>
      </c>
      <c r="B1462">
        <v>2025</v>
      </c>
      <c r="C1462" t="s">
        <v>30</v>
      </c>
      <c r="D1462">
        <v>6</v>
      </c>
      <c r="E1462" t="s">
        <v>23</v>
      </c>
      <c r="F1462" t="s">
        <v>22</v>
      </c>
      <c r="G1462" s="3">
        <v>224</v>
      </c>
      <c r="H1462" s="3">
        <v>176.72</v>
      </c>
      <c r="I1462" s="3">
        <v>39585.279999999999</v>
      </c>
      <c r="J1462" s="3">
        <v>-11.66</v>
      </c>
    </row>
    <row r="1463" spans="1:10" x14ac:dyDescent="0.25">
      <c r="A1463" s="2">
        <v>45827</v>
      </c>
      <c r="B1463">
        <v>2025</v>
      </c>
      <c r="C1463" t="s">
        <v>30</v>
      </c>
      <c r="D1463">
        <v>6</v>
      </c>
      <c r="E1463" t="s">
        <v>13</v>
      </c>
      <c r="F1463" t="s">
        <v>12</v>
      </c>
      <c r="G1463" s="3">
        <v>282</v>
      </c>
      <c r="H1463" s="3">
        <v>55.66</v>
      </c>
      <c r="I1463" s="3">
        <v>15696.12</v>
      </c>
      <c r="J1463" s="3">
        <v>-12.37</v>
      </c>
    </row>
    <row r="1464" spans="1:10" x14ac:dyDescent="0.25">
      <c r="A1464" s="2">
        <v>45827</v>
      </c>
      <c r="B1464">
        <v>2025</v>
      </c>
      <c r="C1464" t="s">
        <v>30</v>
      </c>
      <c r="D1464">
        <v>6</v>
      </c>
      <c r="E1464" t="s">
        <v>23</v>
      </c>
      <c r="F1464" t="s">
        <v>12</v>
      </c>
      <c r="G1464" s="3">
        <v>579</v>
      </c>
      <c r="H1464" s="3">
        <v>174.43</v>
      </c>
      <c r="I1464" s="3">
        <v>100994.97</v>
      </c>
      <c r="J1464" s="3">
        <v>14.25</v>
      </c>
    </row>
    <row r="1465" spans="1:10" x14ac:dyDescent="0.25">
      <c r="A1465" s="2">
        <v>45827</v>
      </c>
      <c r="B1465">
        <v>2025</v>
      </c>
      <c r="C1465" t="s">
        <v>30</v>
      </c>
      <c r="D1465">
        <v>6</v>
      </c>
      <c r="E1465" t="s">
        <v>23</v>
      </c>
      <c r="F1465" t="s">
        <v>25</v>
      </c>
      <c r="G1465" s="3">
        <v>449</v>
      </c>
      <c r="H1465" s="3">
        <v>79.760000000000005</v>
      </c>
      <c r="I1465" s="3">
        <v>35812.239999999998</v>
      </c>
      <c r="J1465" s="3">
        <v>11.51</v>
      </c>
    </row>
    <row r="1466" spans="1:10" x14ac:dyDescent="0.25">
      <c r="A1466" s="2">
        <v>45827</v>
      </c>
      <c r="B1466">
        <v>2025</v>
      </c>
      <c r="C1466" t="s">
        <v>30</v>
      </c>
      <c r="D1466">
        <v>6</v>
      </c>
      <c r="E1466" t="s">
        <v>26</v>
      </c>
      <c r="F1466" t="s">
        <v>25</v>
      </c>
      <c r="G1466" s="3">
        <v>319</v>
      </c>
      <c r="H1466" s="3">
        <v>143.85</v>
      </c>
      <c r="I1466" s="3">
        <v>45888.15</v>
      </c>
      <c r="J1466" s="3">
        <v>-10.18</v>
      </c>
    </row>
    <row r="1467" spans="1:10" x14ac:dyDescent="0.25">
      <c r="A1467" s="2">
        <v>45827</v>
      </c>
      <c r="B1467">
        <v>2025</v>
      </c>
      <c r="C1467" t="s">
        <v>30</v>
      </c>
      <c r="D1467">
        <v>6</v>
      </c>
      <c r="E1467" t="s">
        <v>26</v>
      </c>
      <c r="F1467" t="s">
        <v>21</v>
      </c>
      <c r="G1467" s="3">
        <v>583</v>
      </c>
      <c r="H1467" s="3">
        <v>43.83</v>
      </c>
      <c r="I1467" s="3">
        <v>25552.89</v>
      </c>
      <c r="J1467" s="3">
        <v>0.28999999999999998</v>
      </c>
    </row>
    <row r="1468" spans="1:10" x14ac:dyDescent="0.25">
      <c r="A1468" s="2">
        <v>45827</v>
      </c>
      <c r="B1468">
        <v>2025</v>
      </c>
      <c r="C1468" t="s">
        <v>30</v>
      </c>
      <c r="D1468">
        <v>6</v>
      </c>
      <c r="E1468" t="s">
        <v>26</v>
      </c>
      <c r="F1468" t="s">
        <v>22</v>
      </c>
      <c r="G1468" s="3">
        <v>564</v>
      </c>
      <c r="H1468" s="3">
        <v>199.57</v>
      </c>
      <c r="I1468" s="3">
        <v>112557.48</v>
      </c>
      <c r="J1468" s="3">
        <v>-7.35</v>
      </c>
    </row>
    <row r="1469" spans="1:10" x14ac:dyDescent="0.25">
      <c r="A1469" s="2">
        <v>45827</v>
      </c>
      <c r="B1469">
        <v>2025</v>
      </c>
      <c r="C1469" t="s">
        <v>30</v>
      </c>
      <c r="D1469">
        <v>6</v>
      </c>
      <c r="E1469" t="s">
        <v>11</v>
      </c>
      <c r="F1469" t="s">
        <v>12</v>
      </c>
      <c r="G1469" s="3">
        <v>194</v>
      </c>
      <c r="H1469" s="3">
        <v>181.87</v>
      </c>
      <c r="I1469" s="3">
        <v>35282.78</v>
      </c>
      <c r="J1469" s="3">
        <v>23.49</v>
      </c>
    </row>
    <row r="1470" spans="1:10" x14ac:dyDescent="0.25">
      <c r="A1470" s="2">
        <v>45827</v>
      </c>
      <c r="B1470">
        <v>2025</v>
      </c>
      <c r="C1470" t="s">
        <v>30</v>
      </c>
      <c r="D1470">
        <v>6</v>
      </c>
      <c r="E1470" t="s">
        <v>11</v>
      </c>
      <c r="F1470" t="s">
        <v>24</v>
      </c>
      <c r="G1470" s="3">
        <v>404</v>
      </c>
      <c r="H1470" s="3">
        <v>83.88</v>
      </c>
      <c r="I1470" s="3">
        <v>33887.519999999997</v>
      </c>
      <c r="J1470" s="3">
        <v>1.53</v>
      </c>
    </row>
    <row r="1471" spans="1:10" x14ac:dyDescent="0.25">
      <c r="A1471" s="2">
        <v>45827</v>
      </c>
      <c r="B1471">
        <v>2025</v>
      </c>
      <c r="C1471" t="s">
        <v>30</v>
      </c>
      <c r="D1471">
        <v>6</v>
      </c>
      <c r="E1471" t="s">
        <v>11</v>
      </c>
      <c r="F1471" t="s">
        <v>14</v>
      </c>
      <c r="G1471" s="3">
        <v>177</v>
      </c>
      <c r="H1471" s="3">
        <v>138.47</v>
      </c>
      <c r="I1471" s="3">
        <v>24509.19</v>
      </c>
      <c r="J1471" s="3">
        <v>-12.2</v>
      </c>
    </row>
    <row r="1472" spans="1:10" x14ac:dyDescent="0.25">
      <c r="A1472" s="2">
        <v>45827</v>
      </c>
      <c r="B1472">
        <v>2025</v>
      </c>
      <c r="C1472" t="s">
        <v>30</v>
      </c>
      <c r="D1472">
        <v>6</v>
      </c>
      <c r="E1472" t="s">
        <v>11</v>
      </c>
      <c r="F1472" t="s">
        <v>15</v>
      </c>
      <c r="G1472" s="3">
        <v>236</v>
      </c>
      <c r="H1472" s="3">
        <v>25.25</v>
      </c>
      <c r="I1472" s="3">
        <v>5959</v>
      </c>
      <c r="J1472" s="3">
        <v>21.29</v>
      </c>
    </row>
    <row r="1473" spans="1:10" x14ac:dyDescent="0.25">
      <c r="A1473" s="2">
        <v>45827</v>
      </c>
      <c r="B1473">
        <v>2025</v>
      </c>
      <c r="C1473" t="s">
        <v>30</v>
      </c>
      <c r="D1473">
        <v>6</v>
      </c>
      <c r="E1473" t="s">
        <v>11</v>
      </c>
      <c r="F1473" t="s">
        <v>16</v>
      </c>
      <c r="G1473" s="3">
        <v>437</v>
      </c>
      <c r="H1473" s="3">
        <v>95.45</v>
      </c>
      <c r="I1473" s="3">
        <v>41711.65</v>
      </c>
      <c r="J1473" s="3">
        <v>-8.27</v>
      </c>
    </row>
    <row r="1474" spans="1:10" x14ac:dyDescent="0.25">
      <c r="A1474" s="2">
        <v>45827</v>
      </c>
      <c r="B1474">
        <v>2025</v>
      </c>
      <c r="C1474" t="s">
        <v>30</v>
      </c>
      <c r="D1474">
        <v>6</v>
      </c>
      <c r="E1474" t="s">
        <v>11</v>
      </c>
      <c r="F1474" t="s">
        <v>18</v>
      </c>
      <c r="G1474" s="3">
        <v>185</v>
      </c>
      <c r="H1474" s="3">
        <v>110.44</v>
      </c>
      <c r="I1474" s="3">
        <v>20431.400000000001</v>
      </c>
      <c r="J1474" s="3">
        <v>14.26</v>
      </c>
    </row>
    <row r="1475" spans="1:10" x14ac:dyDescent="0.25">
      <c r="A1475" s="2">
        <v>45827</v>
      </c>
      <c r="B1475">
        <v>2025</v>
      </c>
      <c r="C1475" t="s">
        <v>30</v>
      </c>
      <c r="D1475">
        <v>6</v>
      </c>
      <c r="E1475" t="s">
        <v>11</v>
      </c>
      <c r="F1475" t="s">
        <v>19</v>
      </c>
      <c r="G1475" s="3">
        <v>250</v>
      </c>
      <c r="H1475" s="3">
        <v>76.349999999999994</v>
      </c>
      <c r="I1475" s="3">
        <v>19087.5</v>
      </c>
      <c r="J1475" s="3">
        <v>18.46</v>
      </c>
    </row>
    <row r="1476" spans="1:10" x14ac:dyDescent="0.25">
      <c r="A1476" s="2">
        <v>45827</v>
      </c>
      <c r="B1476">
        <v>2025</v>
      </c>
      <c r="C1476" t="s">
        <v>30</v>
      </c>
      <c r="D1476">
        <v>6</v>
      </c>
      <c r="E1476" t="s">
        <v>11</v>
      </c>
      <c r="F1476" t="s">
        <v>20</v>
      </c>
      <c r="G1476" s="3">
        <v>632</v>
      </c>
      <c r="H1476" s="3">
        <v>188.17</v>
      </c>
      <c r="I1476" s="3">
        <v>118923.44</v>
      </c>
      <c r="J1476" s="3">
        <v>21.66</v>
      </c>
    </row>
    <row r="1477" spans="1:10" x14ac:dyDescent="0.25">
      <c r="A1477" s="2">
        <v>45827</v>
      </c>
      <c r="B1477">
        <v>2025</v>
      </c>
      <c r="C1477" t="s">
        <v>30</v>
      </c>
      <c r="D1477">
        <v>6</v>
      </c>
      <c r="E1477" t="s">
        <v>11</v>
      </c>
      <c r="F1477" t="s">
        <v>21</v>
      </c>
      <c r="G1477" s="3">
        <v>174</v>
      </c>
      <c r="H1477" s="3">
        <v>133.37</v>
      </c>
      <c r="I1477" s="3">
        <v>23206.38</v>
      </c>
      <c r="J1477" s="3">
        <v>1.1299999999999999</v>
      </c>
    </row>
    <row r="1478" spans="1:10" x14ac:dyDescent="0.25">
      <c r="A1478" s="2">
        <v>45827</v>
      </c>
      <c r="B1478">
        <v>2025</v>
      </c>
      <c r="C1478" t="s">
        <v>30</v>
      </c>
      <c r="D1478">
        <v>6</v>
      </c>
      <c r="E1478" t="s">
        <v>11</v>
      </c>
      <c r="F1478" t="s">
        <v>17</v>
      </c>
      <c r="G1478" s="3">
        <v>286</v>
      </c>
      <c r="H1478" s="3">
        <v>147.82</v>
      </c>
      <c r="I1478" s="3">
        <v>42276.52</v>
      </c>
      <c r="J1478" s="3">
        <v>-11.17</v>
      </c>
    </row>
    <row r="1479" spans="1:10" x14ac:dyDescent="0.25">
      <c r="A1479" s="2">
        <v>45827</v>
      </c>
      <c r="B1479">
        <v>2025</v>
      </c>
      <c r="C1479" t="s">
        <v>30</v>
      </c>
      <c r="D1479">
        <v>6</v>
      </c>
      <c r="E1479" t="s">
        <v>11</v>
      </c>
      <c r="F1479" t="s">
        <v>25</v>
      </c>
      <c r="G1479" s="3">
        <v>782</v>
      </c>
      <c r="H1479" s="3">
        <v>91.68</v>
      </c>
      <c r="I1479" s="3">
        <v>71693.759999999995</v>
      </c>
      <c r="J1479" s="3">
        <v>2.76</v>
      </c>
    </row>
    <row r="1480" spans="1:10" x14ac:dyDescent="0.25">
      <c r="A1480" s="2">
        <v>45827</v>
      </c>
      <c r="B1480">
        <v>2025</v>
      </c>
      <c r="C1480" t="s">
        <v>30</v>
      </c>
      <c r="D1480">
        <v>6</v>
      </c>
      <c r="E1480" t="s">
        <v>26</v>
      </c>
      <c r="F1480" t="s">
        <v>12</v>
      </c>
      <c r="G1480" s="3">
        <v>431</v>
      </c>
      <c r="H1480" s="3">
        <v>46.36</v>
      </c>
      <c r="I1480" s="3">
        <v>19981.16</v>
      </c>
      <c r="J1480" s="3">
        <v>18.32</v>
      </c>
    </row>
    <row r="1481" spans="1:10" x14ac:dyDescent="0.25">
      <c r="A1481" s="2">
        <v>45827</v>
      </c>
      <c r="B1481">
        <v>2025</v>
      </c>
      <c r="C1481" t="s">
        <v>30</v>
      </c>
      <c r="D1481">
        <v>6</v>
      </c>
      <c r="E1481" t="s">
        <v>26</v>
      </c>
      <c r="F1481" t="s">
        <v>24</v>
      </c>
      <c r="G1481" s="3">
        <v>683</v>
      </c>
      <c r="H1481" s="3">
        <v>62.69</v>
      </c>
      <c r="I1481" s="3">
        <v>42817.27</v>
      </c>
      <c r="J1481" s="3">
        <v>-10.7</v>
      </c>
    </row>
    <row r="1482" spans="1:10" x14ac:dyDescent="0.25">
      <c r="A1482" s="2">
        <v>45827</v>
      </c>
      <c r="B1482">
        <v>2025</v>
      </c>
      <c r="C1482" t="s">
        <v>30</v>
      </c>
      <c r="D1482">
        <v>6</v>
      </c>
      <c r="E1482" t="s">
        <v>26</v>
      </c>
      <c r="F1482" t="s">
        <v>14</v>
      </c>
      <c r="G1482" s="3">
        <v>142</v>
      </c>
      <c r="H1482" s="3">
        <v>184.71</v>
      </c>
      <c r="I1482" s="3">
        <v>26228.82</v>
      </c>
      <c r="J1482" s="3">
        <v>-4.95</v>
      </c>
    </row>
    <row r="1483" spans="1:10" x14ac:dyDescent="0.25">
      <c r="A1483" s="2">
        <v>45827</v>
      </c>
      <c r="B1483">
        <v>2025</v>
      </c>
      <c r="C1483" t="s">
        <v>30</v>
      </c>
      <c r="D1483">
        <v>6</v>
      </c>
      <c r="E1483" t="s">
        <v>26</v>
      </c>
      <c r="F1483" t="s">
        <v>15</v>
      </c>
      <c r="G1483" s="3">
        <v>195</v>
      </c>
      <c r="H1483" s="3">
        <v>64.91</v>
      </c>
      <c r="I1483" s="3">
        <v>12657.45</v>
      </c>
      <c r="J1483" s="3">
        <v>6.9</v>
      </c>
    </row>
    <row r="1484" spans="1:10" x14ac:dyDescent="0.25">
      <c r="A1484" s="2">
        <v>45827</v>
      </c>
      <c r="B1484">
        <v>2025</v>
      </c>
      <c r="C1484" t="s">
        <v>30</v>
      </c>
      <c r="D1484">
        <v>6</v>
      </c>
      <c r="E1484" t="s">
        <v>26</v>
      </c>
      <c r="F1484" t="s">
        <v>16</v>
      </c>
      <c r="G1484" s="3">
        <v>506</v>
      </c>
      <c r="H1484" s="3">
        <v>75.52</v>
      </c>
      <c r="I1484" s="3">
        <v>38213.120000000003</v>
      </c>
      <c r="J1484" s="3">
        <v>7.92</v>
      </c>
    </row>
    <row r="1485" spans="1:10" x14ac:dyDescent="0.25">
      <c r="A1485" s="2">
        <v>45827</v>
      </c>
      <c r="B1485">
        <v>2025</v>
      </c>
      <c r="C1485" t="s">
        <v>30</v>
      </c>
      <c r="D1485">
        <v>6</v>
      </c>
      <c r="E1485" t="s">
        <v>26</v>
      </c>
      <c r="F1485" t="s">
        <v>17</v>
      </c>
      <c r="G1485" s="3">
        <v>673</v>
      </c>
      <c r="H1485" s="3">
        <v>179.18</v>
      </c>
      <c r="I1485" s="3">
        <v>120588.14</v>
      </c>
      <c r="J1485" s="3">
        <v>7.38</v>
      </c>
    </row>
    <row r="1486" spans="1:10" x14ac:dyDescent="0.25">
      <c r="A1486" s="2">
        <v>45827</v>
      </c>
      <c r="B1486">
        <v>2025</v>
      </c>
      <c r="C1486" t="s">
        <v>30</v>
      </c>
      <c r="D1486">
        <v>6</v>
      </c>
      <c r="E1486" t="s">
        <v>26</v>
      </c>
      <c r="F1486" t="s">
        <v>18</v>
      </c>
      <c r="G1486" s="3">
        <v>155</v>
      </c>
      <c r="H1486" s="3">
        <v>21.15</v>
      </c>
      <c r="I1486" s="3">
        <v>3278.25</v>
      </c>
      <c r="J1486" s="3">
        <v>24.13</v>
      </c>
    </row>
    <row r="1487" spans="1:10" x14ac:dyDescent="0.25">
      <c r="A1487" s="2">
        <v>45827</v>
      </c>
      <c r="B1487">
        <v>2025</v>
      </c>
      <c r="C1487" t="s">
        <v>30</v>
      </c>
      <c r="D1487">
        <v>6</v>
      </c>
      <c r="E1487" t="s">
        <v>26</v>
      </c>
      <c r="F1487" t="s">
        <v>19</v>
      </c>
      <c r="G1487" s="3">
        <v>437</v>
      </c>
      <c r="H1487" s="3">
        <v>78.38</v>
      </c>
      <c r="I1487" s="3">
        <v>34252.06</v>
      </c>
      <c r="J1487" s="3">
        <v>-5.64</v>
      </c>
    </row>
    <row r="1488" spans="1:10" x14ac:dyDescent="0.25">
      <c r="A1488" s="2">
        <v>45827</v>
      </c>
      <c r="B1488">
        <v>2025</v>
      </c>
      <c r="C1488" t="s">
        <v>30</v>
      </c>
      <c r="D1488">
        <v>6</v>
      </c>
      <c r="E1488" t="s">
        <v>11</v>
      </c>
      <c r="F1488" t="s">
        <v>22</v>
      </c>
      <c r="G1488" s="3">
        <v>507</v>
      </c>
      <c r="H1488" s="3">
        <v>76.67</v>
      </c>
      <c r="I1488" s="3">
        <v>38871.69</v>
      </c>
      <c r="J1488" s="3">
        <v>-13.28</v>
      </c>
    </row>
    <row r="1489" spans="1:10" x14ac:dyDescent="0.25">
      <c r="A1489" s="2">
        <v>45827</v>
      </c>
      <c r="B1489">
        <v>2025</v>
      </c>
      <c r="C1489" t="s">
        <v>30</v>
      </c>
      <c r="D1489">
        <v>6</v>
      </c>
      <c r="E1489" t="s">
        <v>26</v>
      </c>
      <c r="F1489" t="s">
        <v>20</v>
      </c>
      <c r="G1489" s="3">
        <v>465</v>
      </c>
      <c r="H1489" s="3">
        <v>140.80000000000001</v>
      </c>
      <c r="I1489" s="3">
        <v>65472</v>
      </c>
      <c r="J1489" s="3">
        <v>17.22</v>
      </c>
    </row>
    <row r="1490" spans="1:10" x14ac:dyDescent="0.25">
      <c r="A1490" s="2">
        <v>45857</v>
      </c>
      <c r="B1490">
        <v>2025</v>
      </c>
      <c r="C1490" t="s">
        <v>31</v>
      </c>
      <c r="D1490">
        <v>7</v>
      </c>
      <c r="E1490" t="s">
        <v>13</v>
      </c>
      <c r="F1490" t="s">
        <v>22</v>
      </c>
      <c r="G1490" s="3">
        <v>603</v>
      </c>
      <c r="H1490" s="3">
        <v>65.19</v>
      </c>
      <c r="I1490" s="3">
        <v>39309.57</v>
      </c>
      <c r="J1490" s="3">
        <v>11.02</v>
      </c>
    </row>
    <row r="1491" spans="1:10" x14ac:dyDescent="0.25">
      <c r="A1491" s="2">
        <v>45857</v>
      </c>
      <c r="B1491">
        <v>2025</v>
      </c>
      <c r="C1491" t="s">
        <v>31</v>
      </c>
      <c r="D1491">
        <v>7</v>
      </c>
      <c r="E1491" t="s">
        <v>13</v>
      </c>
      <c r="F1491" t="s">
        <v>21</v>
      </c>
      <c r="G1491" s="3">
        <v>786</v>
      </c>
      <c r="H1491" s="3">
        <v>132.56</v>
      </c>
      <c r="I1491" s="3">
        <v>104192.16</v>
      </c>
      <c r="J1491" s="3">
        <v>14.88</v>
      </c>
    </row>
    <row r="1492" spans="1:10" x14ac:dyDescent="0.25">
      <c r="A1492" s="2">
        <v>45857</v>
      </c>
      <c r="B1492">
        <v>2025</v>
      </c>
      <c r="C1492" t="s">
        <v>31</v>
      </c>
      <c r="D1492">
        <v>7</v>
      </c>
      <c r="E1492" t="s">
        <v>13</v>
      </c>
      <c r="F1492" t="s">
        <v>20</v>
      </c>
      <c r="G1492" s="3">
        <v>430</v>
      </c>
      <c r="H1492" s="3">
        <v>103.53</v>
      </c>
      <c r="I1492" s="3">
        <v>44517.9</v>
      </c>
      <c r="J1492" s="3">
        <v>22.72</v>
      </c>
    </row>
    <row r="1493" spans="1:10" x14ac:dyDescent="0.25">
      <c r="A1493" s="2">
        <v>45857</v>
      </c>
      <c r="B1493">
        <v>2025</v>
      </c>
      <c r="C1493" t="s">
        <v>31</v>
      </c>
      <c r="D1493">
        <v>7</v>
      </c>
      <c r="E1493" t="s">
        <v>13</v>
      </c>
      <c r="F1493" t="s">
        <v>19</v>
      </c>
      <c r="G1493" s="3">
        <v>645</v>
      </c>
      <c r="H1493" s="3">
        <v>69.67</v>
      </c>
      <c r="I1493" s="3">
        <v>44937.15</v>
      </c>
      <c r="J1493" s="3">
        <v>15.74</v>
      </c>
    </row>
    <row r="1494" spans="1:10" x14ac:dyDescent="0.25">
      <c r="A1494" s="2">
        <v>45857</v>
      </c>
      <c r="B1494">
        <v>2025</v>
      </c>
      <c r="C1494" t="s">
        <v>31</v>
      </c>
      <c r="D1494">
        <v>7</v>
      </c>
      <c r="E1494" t="s">
        <v>13</v>
      </c>
      <c r="F1494" t="s">
        <v>14</v>
      </c>
      <c r="G1494" s="3">
        <v>230</v>
      </c>
      <c r="H1494" s="3">
        <v>157.77000000000001</v>
      </c>
      <c r="I1494" s="3">
        <v>36287.1</v>
      </c>
      <c r="J1494" s="3">
        <v>-4.88</v>
      </c>
    </row>
    <row r="1495" spans="1:10" x14ac:dyDescent="0.25">
      <c r="A1495" s="2">
        <v>45857</v>
      </c>
      <c r="B1495">
        <v>2025</v>
      </c>
      <c r="C1495" t="s">
        <v>31</v>
      </c>
      <c r="D1495">
        <v>7</v>
      </c>
      <c r="E1495" t="s">
        <v>13</v>
      </c>
      <c r="F1495" t="s">
        <v>17</v>
      </c>
      <c r="G1495" s="3">
        <v>244</v>
      </c>
      <c r="H1495" s="3">
        <v>141.77000000000001</v>
      </c>
      <c r="I1495" s="3">
        <v>34591.879999999997</v>
      </c>
      <c r="J1495" s="3">
        <v>8.77</v>
      </c>
    </row>
    <row r="1496" spans="1:10" x14ac:dyDescent="0.25">
      <c r="A1496" s="2">
        <v>45857</v>
      </c>
      <c r="B1496">
        <v>2025</v>
      </c>
      <c r="C1496" t="s">
        <v>31</v>
      </c>
      <c r="D1496">
        <v>7</v>
      </c>
      <c r="E1496" t="s">
        <v>13</v>
      </c>
      <c r="F1496" t="s">
        <v>16</v>
      </c>
      <c r="G1496" s="3">
        <v>220</v>
      </c>
      <c r="H1496" s="3">
        <v>193.49</v>
      </c>
      <c r="I1496" s="3">
        <v>42567.8</v>
      </c>
      <c r="J1496" s="3">
        <v>-9.6</v>
      </c>
    </row>
    <row r="1497" spans="1:10" x14ac:dyDescent="0.25">
      <c r="A1497" s="2">
        <v>45857</v>
      </c>
      <c r="B1497">
        <v>2025</v>
      </c>
      <c r="C1497" t="s">
        <v>31</v>
      </c>
      <c r="D1497">
        <v>7</v>
      </c>
      <c r="E1497" t="s">
        <v>13</v>
      </c>
      <c r="F1497" t="s">
        <v>15</v>
      </c>
      <c r="G1497" s="3">
        <v>157</v>
      </c>
      <c r="H1497" s="3">
        <v>30.98</v>
      </c>
      <c r="I1497" s="3">
        <v>4863.8599999999997</v>
      </c>
      <c r="J1497" s="3">
        <v>-3.49</v>
      </c>
    </row>
    <row r="1498" spans="1:10" x14ac:dyDescent="0.25">
      <c r="A1498" s="2">
        <v>45857</v>
      </c>
      <c r="B1498">
        <v>2025</v>
      </c>
      <c r="C1498" t="s">
        <v>31</v>
      </c>
      <c r="D1498">
        <v>7</v>
      </c>
      <c r="E1498" t="s">
        <v>13</v>
      </c>
      <c r="F1498" t="s">
        <v>25</v>
      </c>
      <c r="G1498" s="3">
        <v>286</v>
      </c>
      <c r="H1498" s="3">
        <v>129.08000000000001</v>
      </c>
      <c r="I1498" s="3">
        <v>36916.879999999997</v>
      </c>
      <c r="J1498" s="3">
        <v>18.98</v>
      </c>
    </row>
    <row r="1499" spans="1:10" x14ac:dyDescent="0.25">
      <c r="A1499" s="2">
        <v>45857</v>
      </c>
      <c r="B1499">
        <v>2025</v>
      </c>
      <c r="C1499" t="s">
        <v>31</v>
      </c>
      <c r="D1499">
        <v>7</v>
      </c>
      <c r="E1499" t="s">
        <v>13</v>
      </c>
      <c r="F1499" t="s">
        <v>18</v>
      </c>
      <c r="G1499" s="3">
        <v>705</v>
      </c>
      <c r="H1499" s="3">
        <v>20.97</v>
      </c>
      <c r="I1499" s="3">
        <v>14783.85</v>
      </c>
      <c r="J1499" s="3">
        <v>-14.95</v>
      </c>
    </row>
    <row r="1500" spans="1:10" x14ac:dyDescent="0.25">
      <c r="A1500" s="2">
        <v>45857</v>
      </c>
      <c r="B1500">
        <v>2025</v>
      </c>
      <c r="C1500" t="s">
        <v>31</v>
      </c>
      <c r="D1500">
        <v>7</v>
      </c>
      <c r="E1500" t="s">
        <v>23</v>
      </c>
      <c r="F1500" t="s">
        <v>25</v>
      </c>
      <c r="G1500" s="3">
        <v>503</v>
      </c>
      <c r="H1500" s="3">
        <v>148.65</v>
      </c>
      <c r="I1500" s="3">
        <v>74770.95</v>
      </c>
      <c r="J1500" s="3">
        <v>-3.27</v>
      </c>
    </row>
    <row r="1501" spans="1:10" x14ac:dyDescent="0.25">
      <c r="A1501" s="2">
        <v>45857</v>
      </c>
      <c r="B1501">
        <v>2025</v>
      </c>
      <c r="C1501" t="s">
        <v>31</v>
      </c>
      <c r="D1501">
        <v>7</v>
      </c>
      <c r="E1501" t="s">
        <v>23</v>
      </c>
      <c r="F1501" t="s">
        <v>22</v>
      </c>
      <c r="G1501" s="3">
        <v>723</v>
      </c>
      <c r="H1501" s="3">
        <v>185.11</v>
      </c>
      <c r="I1501" s="3">
        <v>133834.53</v>
      </c>
      <c r="J1501" s="3">
        <v>1.26</v>
      </c>
    </row>
    <row r="1502" spans="1:10" x14ac:dyDescent="0.25">
      <c r="A1502" s="2">
        <v>45857</v>
      </c>
      <c r="B1502">
        <v>2025</v>
      </c>
      <c r="C1502" t="s">
        <v>31</v>
      </c>
      <c r="D1502">
        <v>7</v>
      </c>
      <c r="E1502" t="s">
        <v>23</v>
      </c>
      <c r="F1502" t="s">
        <v>24</v>
      </c>
      <c r="G1502" s="3">
        <v>209</v>
      </c>
      <c r="H1502" s="3">
        <v>106.14</v>
      </c>
      <c r="I1502" s="3">
        <v>22183.26</v>
      </c>
      <c r="J1502" s="3">
        <v>22.15</v>
      </c>
    </row>
    <row r="1503" spans="1:10" x14ac:dyDescent="0.25">
      <c r="A1503" s="2">
        <v>45857</v>
      </c>
      <c r="B1503">
        <v>2025</v>
      </c>
      <c r="C1503" t="s">
        <v>31</v>
      </c>
      <c r="D1503">
        <v>7</v>
      </c>
      <c r="E1503" t="s">
        <v>23</v>
      </c>
      <c r="F1503" t="s">
        <v>14</v>
      </c>
      <c r="G1503" s="3">
        <v>473</v>
      </c>
      <c r="H1503" s="3">
        <v>42.75</v>
      </c>
      <c r="I1503" s="3">
        <v>20220.75</v>
      </c>
      <c r="J1503" s="3">
        <v>-13.89</v>
      </c>
    </row>
    <row r="1504" spans="1:10" x14ac:dyDescent="0.25">
      <c r="A1504" s="2">
        <v>45857</v>
      </c>
      <c r="B1504">
        <v>2025</v>
      </c>
      <c r="C1504" t="s">
        <v>31</v>
      </c>
      <c r="D1504">
        <v>7</v>
      </c>
      <c r="E1504" t="s">
        <v>23</v>
      </c>
      <c r="F1504" t="s">
        <v>15</v>
      </c>
      <c r="G1504" s="3">
        <v>571</v>
      </c>
      <c r="H1504" s="3">
        <v>34.69</v>
      </c>
      <c r="I1504" s="3">
        <v>19807.990000000002</v>
      </c>
      <c r="J1504" s="3">
        <v>-4.66</v>
      </c>
    </row>
    <row r="1505" spans="1:10" x14ac:dyDescent="0.25">
      <c r="A1505" s="2">
        <v>45857</v>
      </c>
      <c r="B1505">
        <v>2025</v>
      </c>
      <c r="C1505" t="s">
        <v>31</v>
      </c>
      <c r="D1505">
        <v>7</v>
      </c>
      <c r="E1505" t="s">
        <v>23</v>
      </c>
      <c r="F1505" t="s">
        <v>16</v>
      </c>
      <c r="G1505" s="3">
        <v>88</v>
      </c>
      <c r="H1505" s="3">
        <v>133.65</v>
      </c>
      <c r="I1505" s="3">
        <v>11761.2</v>
      </c>
      <c r="J1505" s="3">
        <v>2.06</v>
      </c>
    </row>
    <row r="1506" spans="1:10" x14ac:dyDescent="0.25">
      <c r="A1506" s="2">
        <v>45857</v>
      </c>
      <c r="B1506">
        <v>2025</v>
      </c>
      <c r="C1506" t="s">
        <v>31</v>
      </c>
      <c r="D1506">
        <v>7</v>
      </c>
      <c r="E1506" t="s">
        <v>23</v>
      </c>
      <c r="F1506" t="s">
        <v>17</v>
      </c>
      <c r="G1506" s="3">
        <v>685</v>
      </c>
      <c r="H1506" s="3">
        <v>150.37</v>
      </c>
      <c r="I1506" s="3">
        <v>103003.45</v>
      </c>
      <c r="J1506" s="3">
        <v>4.7</v>
      </c>
    </row>
    <row r="1507" spans="1:10" x14ac:dyDescent="0.25">
      <c r="A1507" s="2">
        <v>45857</v>
      </c>
      <c r="B1507">
        <v>2025</v>
      </c>
      <c r="C1507" t="s">
        <v>31</v>
      </c>
      <c r="D1507">
        <v>7</v>
      </c>
      <c r="E1507" t="s">
        <v>23</v>
      </c>
      <c r="F1507" t="s">
        <v>18</v>
      </c>
      <c r="G1507" s="3">
        <v>435</v>
      </c>
      <c r="H1507" s="3">
        <v>139.49</v>
      </c>
      <c r="I1507" s="3">
        <v>60678.15</v>
      </c>
      <c r="J1507" s="3">
        <v>23.61</v>
      </c>
    </row>
    <row r="1508" spans="1:10" x14ac:dyDescent="0.25">
      <c r="A1508" s="2">
        <v>45857</v>
      </c>
      <c r="B1508">
        <v>2025</v>
      </c>
      <c r="C1508" t="s">
        <v>31</v>
      </c>
      <c r="D1508">
        <v>7</v>
      </c>
      <c r="E1508" t="s">
        <v>23</v>
      </c>
      <c r="F1508" t="s">
        <v>19</v>
      </c>
      <c r="G1508" s="3">
        <v>334</v>
      </c>
      <c r="H1508" s="3">
        <v>165.08</v>
      </c>
      <c r="I1508" s="3">
        <v>55136.72</v>
      </c>
      <c r="J1508" s="3">
        <v>8.68</v>
      </c>
    </row>
    <row r="1509" spans="1:10" x14ac:dyDescent="0.25">
      <c r="A1509" s="2">
        <v>45857</v>
      </c>
      <c r="B1509">
        <v>2025</v>
      </c>
      <c r="C1509" t="s">
        <v>31</v>
      </c>
      <c r="D1509">
        <v>7</v>
      </c>
      <c r="E1509" t="s">
        <v>23</v>
      </c>
      <c r="F1509" t="s">
        <v>20</v>
      </c>
      <c r="G1509" s="3">
        <v>389</v>
      </c>
      <c r="H1509" s="3">
        <v>121.51</v>
      </c>
      <c r="I1509" s="3">
        <v>47267.39</v>
      </c>
      <c r="J1509" s="3">
        <v>5.01</v>
      </c>
    </row>
    <row r="1510" spans="1:10" x14ac:dyDescent="0.25">
      <c r="A1510" s="2">
        <v>45857</v>
      </c>
      <c r="B1510">
        <v>2025</v>
      </c>
      <c r="C1510" t="s">
        <v>31</v>
      </c>
      <c r="D1510">
        <v>7</v>
      </c>
      <c r="E1510" t="s">
        <v>23</v>
      </c>
      <c r="F1510" t="s">
        <v>21</v>
      </c>
      <c r="G1510" s="3">
        <v>671</v>
      </c>
      <c r="H1510" s="3">
        <v>36.18</v>
      </c>
      <c r="I1510" s="3">
        <v>24276.78</v>
      </c>
      <c r="J1510" s="3">
        <v>9.0399999999999991</v>
      </c>
    </row>
    <row r="1511" spans="1:10" x14ac:dyDescent="0.25">
      <c r="A1511" s="2">
        <v>45857</v>
      </c>
      <c r="B1511">
        <v>2025</v>
      </c>
      <c r="C1511" t="s">
        <v>31</v>
      </c>
      <c r="D1511">
        <v>7</v>
      </c>
      <c r="E1511" t="s">
        <v>13</v>
      </c>
      <c r="F1511" t="s">
        <v>24</v>
      </c>
      <c r="G1511" s="3">
        <v>397</v>
      </c>
      <c r="H1511" s="3">
        <v>55.1</v>
      </c>
      <c r="I1511" s="3">
        <v>21874.7</v>
      </c>
      <c r="J1511" s="3">
        <v>11.08</v>
      </c>
    </row>
    <row r="1512" spans="1:10" x14ac:dyDescent="0.25">
      <c r="A1512" s="2">
        <v>45857</v>
      </c>
      <c r="B1512">
        <v>2025</v>
      </c>
      <c r="C1512" t="s">
        <v>31</v>
      </c>
      <c r="D1512">
        <v>7</v>
      </c>
      <c r="E1512" t="s">
        <v>23</v>
      </c>
      <c r="F1512" t="s">
        <v>12</v>
      </c>
      <c r="G1512" s="3">
        <v>412</v>
      </c>
      <c r="H1512" s="3">
        <v>40.42</v>
      </c>
      <c r="I1512" s="3">
        <v>16653.04</v>
      </c>
      <c r="J1512" s="3">
        <v>24.88</v>
      </c>
    </row>
    <row r="1513" spans="1:10" x14ac:dyDescent="0.25">
      <c r="A1513" s="2">
        <v>45857</v>
      </c>
      <c r="B1513">
        <v>2025</v>
      </c>
      <c r="C1513" t="s">
        <v>31</v>
      </c>
      <c r="D1513">
        <v>7</v>
      </c>
      <c r="E1513" t="s">
        <v>13</v>
      </c>
      <c r="F1513" t="s">
        <v>12</v>
      </c>
      <c r="G1513" s="3">
        <v>355</v>
      </c>
      <c r="H1513" s="3">
        <v>65.650000000000006</v>
      </c>
      <c r="I1513" s="3">
        <v>23305.75</v>
      </c>
      <c r="J1513" s="3">
        <v>3.84</v>
      </c>
    </row>
    <row r="1514" spans="1:10" x14ac:dyDescent="0.25">
      <c r="A1514" s="2">
        <v>45857</v>
      </c>
      <c r="B1514">
        <v>2025</v>
      </c>
      <c r="C1514" t="s">
        <v>31</v>
      </c>
      <c r="D1514">
        <v>7</v>
      </c>
      <c r="E1514" t="s">
        <v>11</v>
      </c>
      <c r="F1514" t="s">
        <v>25</v>
      </c>
      <c r="G1514" s="3">
        <v>165</v>
      </c>
      <c r="H1514" s="3">
        <v>141.03</v>
      </c>
      <c r="I1514" s="3">
        <v>23269.95</v>
      </c>
      <c r="J1514" s="3">
        <v>18.04</v>
      </c>
    </row>
    <row r="1515" spans="1:10" x14ac:dyDescent="0.25">
      <c r="A1515" s="2">
        <v>45857</v>
      </c>
      <c r="B1515">
        <v>2025</v>
      </c>
      <c r="C1515" t="s">
        <v>31</v>
      </c>
      <c r="D1515">
        <v>7</v>
      </c>
      <c r="E1515" t="s">
        <v>26</v>
      </c>
      <c r="F1515" t="s">
        <v>22</v>
      </c>
      <c r="G1515" s="3">
        <v>156</v>
      </c>
      <c r="H1515" s="3">
        <v>70.209999999999994</v>
      </c>
      <c r="I1515" s="3">
        <v>10952.76</v>
      </c>
      <c r="J1515" s="3">
        <v>-9.83</v>
      </c>
    </row>
    <row r="1516" spans="1:10" x14ac:dyDescent="0.25">
      <c r="A1516" s="2">
        <v>45857</v>
      </c>
      <c r="B1516">
        <v>2025</v>
      </c>
      <c r="C1516" t="s">
        <v>31</v>
      </c>
      <c r="D1516">
        <v>7</v>
      </c>
      <c r="E1516" t="s">
        <v>26</v>
      </c>
      <c r="F1516" t="s">
        <v>25</v>
      </c>
      <c r="G1516" s="3">
        <v>390</v>
      </c>
      <c r="H1516" s="3">
        <v>160.31</v>
      </c>
      <c r="I1516" s="3">
        <v>62520.9</v>
      </c>
      <c r="J1516" s="3">
        <v>-14.35</v>
      </c>
    </row>
    <row r="1517" spans="1:10" x14ac:dyDescent="0.25">
      <c r="A1517" s="2">
        <v>45857</v>
      </c>
      <c r="B1517">
        <v>2025</v>
      </c>
      <c r="C1517" t="s">
        <v>31</v>
      </c>
      <c r="D1517">
        <v>7</v>
      </c>
      <c r="E1517" t="s">
        <v>11</v>
      </c>
      <c r="F1517" t="s">
        <v>12</v>
      </c>
      <c r="G1517" s="3">
        <v>229</v>
      </c>
      <c r="H1517" s="3">
        <v>108.66</v>
      </c>
      <c r="I1517" s="3">
        <v>24883.14</v>
      </c>
      <c r="J1517" s="3">
        <v>2.68</v>
      </c>
    </row>
    <row r="1518" spans="1:10" x14ac:dyDescent="0.25">
      <c r="A1518" s="2">
        <v>45857</v>
      </c>
      <c r="B1518">
        <v>2025</v>
      </c>
      <c r="C1518" t="s">
        <v>31</v>
      </c>
      <c r="D1518">
        <v>7</v>
      </c>
      <c r="E1518" t="s">
        <v>11</v>
      </c>
      <c r="F1518" t="s">
        <v>24</v>
      </c>
      <c r="G1518" s="3">
        <v>244</v>
      </c>
      <c r="H1518" s="3">
        <v>107.19</v>
      </c>
      <c r="I1518" s="3">
        <v>26154.36</v>
      </c>
      <c r="J1518" s="3">
        <v>12.75</v>
      </c>
    </row>
    <row r="1519" spans="1:10" x14ac:dyDescent="0.25">
      <c r="A1519" s="2">
        <v>45857</v>
      </c>
      <c r="B1519">
        <v>2025</v>
      </c>
      <c r="C1519" t="s">
        <v>31</v>
      </c>
      <c r="D1519">
        <v>7</v>
      </c>
      <c r="E1519" t="s">
        <v>11</v>
      </c>
      <c r="F1519" t="s">
        <v>14</v>
      </c>
      <c r="G1519" s="3">
        <v>485</v>
      </c>
      <c r="H1519" s="3">
        <v>49.05</v>
      </c>
      <c r="I1519" s="3">
        <v>23789.25</v>
      </c>
      <c r="J1519" s="3">
        <v>7.88</v>
      </c>
    </row>
    <row r="1520" spans="1:10" x14ac:dyDescent="0.25">
      <c r="A1520" s="2">
        <v>45857</v>
      </c>
      <c r="B1520">
        <v>2025</v>
      </c>
      <c r="C1520" t="s">
        <v>31</v>
      </c>
      <c r="D1520">
        <v>7</v>
      </c>
      <c r="E1520" t="s">
        <v>11</v>
      </c>
      <c r="F1520" t="s">
        <v>15</v>
      </c>
      <c r="G1520" s="3">
        <v>113</v>
      </c>
      <c r="H1520" s="3">
        <v>73.349999999999994</v>
      </c>
      <c r="I1520" s="3">
        <v>8288.5499999999993</v>
      </c>
      <c r="J1520" s="3">
        <v>21.43</v>
      </c>
    </row>
    <row r="1521" spans="1:10" x14ac:dyDescent="0.25">
      <c r="A1521" s="2">
        <v>45857</v>
      </c>
      <c r="B1521">
        <v>2025</v>
      </c>
      <c r="C1521" t="s">
        <v>31</v>
      </c>
      <c r="D1521">
        <v>7</v>
      </c>
      <c r="E1521" t="s">
        <v>11</v>
      </c>
      <c r="F1521" t="s">
        <v>16</v>
      </c>
      <c r="G1521" s="3">
        <v>334</v>
      </c>
      <c r="H1521" s="3">
        <v>46.86</v>
      </c>
      <c r="I1521" s="3">
        <v>15651.24</v>
      </c>
      <c r="J1521" s="3">
        <v>-4.2699999999999996</v>
      </c>
    </row>
    <row r="1522" spans="1:10" x14ac:dyDescent="0.25">
      <c r="A1522" s="2">
        <v>45857</v>
      </c>
      <c r="B1522">
        <v>2025</v>
      </c>
      <c r="C1522" t="s">
        <v>31</v>
      </c>
      <c r="D1522">
        <v>7</v>
      </c>
      <c r="E1522" t="s">
        <v>11</v>
      </c>
      <c r="F1522" t="s">
        <v>18</v>
      </c>
      <c r="G1522" s="3">
        <v>195</v>
      </c>
      <c r="H1522" s="3">
        <v>30.2</v>
      </c>
      <c r="I1522" s="3">
        <v>5889</v>
      </c>
      <c r="J1522" s="3">
        <v>-13.61</v>
      </c>
    </row>
    <row r="1523" spans="1:10" x14ac:dyDescent="0.25">
      <c r="A1523" s="2">
        <v>45857</v>
      </c>
      <c r="B1523">
        <v>2025</v>
      </c>
      <c r="C1523" t="s">
        <v>31</v>
      </c>
      <c r="D1523">
        <v>7</v>
      </c>
      <c r="E1523" t="s">
        <v>11</v>
      </c>
      <c r="F1523" t="s">
        <v>19</v>
      </c>
      <c r="G1523" s="3">
        <v>94</v>
      </c>
      <c r="H1523" s="3">
        <v>80.760000000000005</v>
      </c>
      <c r="I1523" s="3">
        <v>7591.44</v>
      </c>
      <c r="J1523" s="3">
        <v>17.11</v>
      </c>
    </row>
    <row r="1524" spans="1:10" x14ac:dyDescent="0.25">
      <c r="A1524" s="2">
        <v>45857</v>
      </c>
      <c r="B1524">
        <v>2025</v>
      </c>
      <c r="C1524" t="s">
        <v>31</v>
      </c>
      <c r="D1524">
        <v>7</v>
      </c>
      <c r="E1524" t="s">
        <v>11</v>
      </c>
      <c r="F1524" t="s">
        <v>20</v>
      </c>
      <c r="G1524" s="3">
        <v>476</v>
      </c>
      <c r="H1524" s="3">
        <v>135.47</v>
      </c>
      <c r="I1524" s="3">
        <v>64483.72</v>
      </c>
      <c r="J1524" s="3">
        <v>-4.6100000000000003</v>
      </c>
    </row>
    <row r="1525" spans="1:10" x14ac:dyDescent="0.25">
      <c r="A1525" s="2">
        <v>45857</v>
      </c>
      <c r="B1525">
        <v>2025</v>
      </c>
      <c r="C1525" t="s">
        <v>31</v>
      </c>
      <c r="D1525">
        <v>7</v>
      </c>
      <c r="E1525" t="s">
        <v>11</v>
      </c>
      <c r="F1525" t="s">
        <v>21</v>
      </c>
      <c r="G1525" s="3">
        <v>583</v>
      </c>
      <c r="H1525" s="3">
        <v>80.72</v>
      </c>
      <c r="I1525" s="3">
        <v>47059.76</v>
      </c>
      <c r="J1525" s="3">
        <v>-2.52</v>
      </c>
    </row>
    <row r="1526" spans="1:10" x14ac:dyDescent="0.25">
      <c r="A1526" s="2">
        <v>45857</v>
      </c>
      <c r="B1526">
        <v>2025</v>
      </c>
      <c r="C1526" t="s">
        <v>31</v>
      </c>
      <c r="D1526">
        <v>7</v>
      </c>
      <c r="E1526" t="s">
        <v>11</v>
      </c>
      <c r="F1526" t="s">
        <v>17</v>
      </c>
      <c r="G1526" s="3">
        <v>213</v>
      </c>
      <c r="H1526" s="3">
        <v>93.39</v>
      </c>
      <c r="I1526" s="3">
        <v>19892.07</v>
      </c>
      <c r="J1526" s="3">
        <v>-9.98</v>
      </c>
    </row>
    <row r="1527" spans="1:10" x14ac:dyDescent="0.25">
      <c r="A1527" s="2">
        <v>45857</v>
      </c>
      <c r="B1527">
        <v>2025</v>
      </c>
      <c r="C1527" t="s">
        <v>31</v>
      </c>
      <c r="D1527">
        <v>7</v>
      </c>
      <c r="E1527" t="s">
        <v>26</v>
      </c>
      <c r="F1527" t="s">
        <v>12</v>
      </c>
      <c r="G1527" s="3">
        <v>58</v>
      </c>
      <c r="H1527" s="3">
        <v>118.2</v>
      </c>
      <c r="I1527" s="3">
        <v>6855.6</v>
      </c>
      <c r="J1527" s="3">
        <v>-10.78</v>
      </c>
    </row>
    <row r="1528" spans="1:10" x14ac:dyDescent="0.25">
      <c r="A1528" s="2">
        <v>45857</v>
      </c>
      <c r="B1528">
        <v>2025</v>
      </c>
      <c r="C1528" t="s">
        <v>31</v>
      </c>
      <c r="D1528">
        <v>7</v>
      </c>
      <c r="E1528" t="s">
        <v>11</v>
      </c>
      <c r="F1528" t="s">
        <v>22</v>
      </c>
      <c r="G1528" s="3">
        <v>792</v>
      </c>
      <c r="H1528" s="3">
        <v>40</v>
      </c>
      <c r="I1528" s="3">
        <v>31680</v>
      </c>
      <c r="J1528" s="3">
        <v>10.92</v>
      </c>
    </row>
    <row r="1529" spans="1:10" x14ac:dyDescent="0.25">
      <c r="A1529" s="2">
        <v>45857</v>
      </c>
      <c r="B1529">
        <v>2025</v>
      </c>
      <c r="C1529" t="s">
        <v>31</v>
      </c>
      <c r="D1529">
        <v>7</v>
      </c>
      <c r="E1529" t="s">
        <v>26</v>
      </c>
      <c r="F1529" t="s">
        <v>20</v>
      </c>
      <c r="G1529" s="3">
        <v>187</v>
      </c>
      <c r="H1529" s="3">
        <v>96.95</v>
      </c>
      <c r="I1529" s="3">
        <v>18129.650000000001</v>
      </c>
      <c r="J1529" s="3">
        <v>-1.79</v>
      </c>
    </row>
    <row r="1530" spans="1:10" x14ac:dyDescent="0.25">
      <c r="A1530" s="2">
        <v>45857</v>
      </c>
      <c r="B1530">
        <v>2025</v>
      </c>
      <c r="C1530" t="s">
        <v>31</v>
      </c>
      <c r="D1530">
        <v>7</v>
      </c>
      <c r="E1530" t="s">
        <v>26</v>
      </c>
      <c r="F1530" t="s">
        <v>19</v>
      </c>
      <c r="G1530" s="3">
        <v>656</v>
      </c>
      <c r="H1530" s="3">
        <v>104.18</v>
      </c>
      <c r="I1530" s="3">
        <v>68342.080000000002</v>
      </c>
      <c r="J1530" s="3">
        <v>9.7799999999999994</v>
      </c>
    </row>
    <row r="1531" spans="1:10" x14ac:dyDescent="0.25">
      <c r="A1531" s="2">
        <v>45857</v>
      </c>
      <c r="B1531">
        <v>2025</v>
      </c>
      <c r="C1531" t="s">
        <v>31</v>
      </c>
      <c r="D1531">
        <v>7</v>
      </c>
      <c r="E1531" t="s">
        <v>26</v>
      </c>
      <c r="F1531" t="s">
        <v>18</v>
      </c>
      <c r="G1531" s="3">
        <v>490</v>
      </c>
      <c r="H1531" s="3">
        <v>111.27</v>
      </c>
      <c r="I1531" s="3">
        <v>54522.3</v>
      </c>
      <c r="J1531" s="3">
        <v>10.52</v>
      </c>
    </row>
    <row r="1532" spans="1:10" x14ac:dyDescent="0.25">
      <c r="A1532" s="2">
        <v>45857</v>
      </c>
      <c r="B1532">
        <v>2025</v>
      </c>
      <c r="C1532" t="s">
        <v>31</v>
      </c>
      <c r="D1532">
        <v>7</v>
      </c>
      <c r="E1532" t="s">
        <v>26</v>
      </c>
      <c r="F1532" t="s">
        <v>17</v>
      </c>
      <c r="G1532" s="3">
        <v>539</v>
      </c>
      <c r="H1532" s="3">
        <v>162.88999999999999</v>
      </c>
      <c r="I1532" s="3">
        <v>87797.71</v>
      </c>
      <c r="J1532" s="3">
        <v>11.38</v>
      </c>
    </row>
    <row r="1533" spans="1:10" x14ac:dyDescent="0.25">
      <c r="A1533" s="2">
        <v>45857</v>
      </c>
      <c r="B1533">
        <v>2025</v>
      </c>
      <c r="C1533" t="s">
        <v>31</v>
      </c>
      <c r="D1533">
        <v>7</v>
      </c>
      <c r="E1533" t="s">
        <v>26</v>
      </c>
      <c r="F1533" t="s">
        <v>21</v>
      </c>
      <c r="G1533" s="3">
        <v>193</v>
      </c>
      <c r="H1533" s="3">
        <v>136.08000000000001</v>
      </c>
      <c r="I1533" s="3">
        <v>26263.439999999999</v>
      </c>
      <c r="J1533" s="3">
        <v>-14.06</v>
      </c>
    </row>
    <row r="1534" spans="1:10" x14ac:dyDescent="0.25">
      <c r="A1534" s="2">
        <v>45857</v>
      </c>
      <c r="B1534">
        <v>2025</v>
      </c>
      <c r="C1534" t="s">
        <v>31</v>
      </c>
      <c r="D1534">
        <v>7</v>
      </c>
      <c r="E1534" t="s">
        <v>26</v>
      </c>
      <c r="F1534" t="s">
        <v>15</v>
      </c>
      <c r="G1534" s="3">
        <v>349</v>
      </c>
      <c r="H1534" s="3">
        <v>34.619999999999997</v>
      </c>
      <c r="I1534" s="3">
        <v>12082.38</v>
      </c>
      <c r="J1534" s="3">
        <v>24.7</v>
      </c>
    </row>
    <row r="1535" spans="1:10" x14ac:dyDescent="0.25">
      <c r="A1535" s="2">
        <v>45857</v>
      </c>
      <c r="B1535">
        <v>2025</v>
      </c>
      <c r="C1535" t="s">
        <v>31</v>
      </c>
      <c r="D1535">
        <v>7</v>
      </c>
      <c r="E1535" t="s">
        <v>26</v>
      </c>
      <c r="F1535" t="s">
        <v>14</v>
      </c>
      <c r="G1535" s="3">
        <v>726</v>
      </c>
      <c r="H1535" s="3">
        <v>34.76</v>
      </c>
      <c r="I1535" s="3">
        <v>25235.759999999998</v>
      </c>
      <c r="J1535" s="3">
        <v>-13.6</v>
      </c>
    </row>
    <row r="1536" spans="1:10" x14ac:dyDescent="0.25">
      <c r="A1536" s="2">
        <v>45857</v>
      </c>
      <c r="B1536">
        <v>2025</v>
      </c>
      <c r="C1536" t="s">
        <v>31</v>
      </c>
      <c r="D1536">
        <v>7</v>
      </c>
      <c r="E1536" t="s">
        <v>26</v>
      </c>
      <c r="F1536" t="s">
        <v>24</v>
      </c>
      <c r="G1536" s="3">
        <v>566</v>
      </c>
      <c r="H1536" s="3">
        <v>48.14</v>
      </c>
      <c r="I1536" s="3">
        <v>27247.24</v>
      </c>
      <c r="J1536" s="3">
        <v>14.52</v>
      </c>
    </row>
    <row r="1537" spans="1:10" x14ac:dyDescent="0.25">
      <c r="A1537" s="2">
        <v>45857</v>
      </c>
      <c r="B1537">
        <v>2025</v>
      </c>
      <c r="C1537" t="s">
        <v>31</v>
      </c>
      <c r="D1537">
        <v>7</v>
      </c>
      <c r="E1537" t="s">
        <v>26</v>
      </c>
      <c r="F1537" t="s">
        <v>16</v>
      </c>
      <c r="G1537" s="3">
        <v>667</v>
      </c>
      <c r="H1537" s="3">
        <v>110.83</v>
      </c>
      <c r="I1537" s="3">
        <v>73923.61</v>
      </c>
      <c r="J1537" s="3">
        <v>-10.31</v>
      </c>
    </row>
    <row r="1538" spans="1:10" x14ac:dyDescent="0.25">
      <c r="A1538" s="2">
        <v>45887</v>
      </c>
      <c r="B1538">
        <v>2025</v>
      </c>
      <c r="C1538" t="s">
        <v>32</v>
      </c>
      <c r="D1538">
        <v>8</v>
      </c>
      <c r="E1538" t="s">
        <v>13</v>
      </c>
      <c r="F1538" t="s">
        <v>25</v>
      </c>
      <c r="G1538" s="3">
        <v>324</v>
      </c>
      <c r="H1538" s="3">
        <v>144.08000000000001</v>
      </c>
      <c r="I1538" s="3">
        <v>46681.919999999998</v>
      </c>
      <c r="J1538" s="3">
        <v>-4.91</v>
      </c>
    </row>
    <row r="1539" spans="1:10" x14ac:dyDescent="0.25">
      <c r="A1539" s="2">
        <v>45887</v>
      </c>
      <c r="B1539">
        <v>2025</v>
      </c>
      <c r="C1539" t="s">
        <v>32</v>
      </c>
      <c r="D1539">
        <v>8</v>
      </c>
      <c r="E1539" t="s">
        <v>13</v>
      </c>
      <c r="F1539" t="s">
        <v>14</v>
      </c>
      <c r="G1539" s="3">
        <v>151</v>
      </c>
      <c r="H1539" s="3">
        <v>36.65</v>
      </c>
      <c r="I1539" s="3">
        <v>5534.15</v>
      </c>
      <c r="J1539" s="3">
        <v>16.21</v>
      </c>
    </row>
    <row r="1540" spans="1:10" x14ac:dyDescent="0.25">
      <c r="A1540" s="2">
        <v>45887</v>
      </c>
      <c r="B1540">
        <v>2025</v>
      </c>
      <c r="C1540" t="s">
        <v>32</v>
      </c>
      <c r="D1540">
        <v>8</v>
      </c>
      <c r="E1540" t="s">
        <v>13</v>
      </c>
      <c r="F1540" t="s">
        <v>15</v>
      </c>
      <c r="G1540" s="3">
        <v>237</v>
      </c>
      <c r="H1540" s="3">
        <v>158.15</v>
      </c>
      <c r="I1540" s="3">
        <v>37481.550000000003</v>
      </c>
      <c r="J1540" s="3">
        <v>-2.7</v>
      </c>
    </row>
    <row r="1541" spans="1:10" x14ac:dyDescent="0.25">
      <c r="A1541" s="2">
        <v>45887</v>
      </c>
      <c r="B1541">
        <v>2025</v>
      </c>
      <c r="C1541" t="s">
        <v>32</v>
      </c>
      <c r="D1541">
        <v>8</v>
      </c>
      <c r="E1541" t="s">
        <v>13</v>
      </c>
      <c r="F1541" t="s">
        <v>16</v>
      </c>
      <c r="G1541" s="3">
        <v>160</v>
      </c>
      <c r="H1541" s="3">
        <v>131.08000000000001</v>
      </c>
      <c r="I1541" s="3">
        <v>20972.799999999999</v>
      </c>
      <c r="J1541" s="3">
        <v>19</v>
      </c>
    </row>
    <row r="1542" spans="1:10" x14ac:dyDescent="0.25">
      <c r="A1542" s="2">
        <v>45887</v>
      </c>
      <c r="B1542">
        <v>2025</v>
      </c>
      <c r="C1542" t="s">
        <v>32</v>
      </c>
      <c r="D1542">
        <v>8</v>
      </c>
      <c r="E1542" t="s">
        <v>13</v>
      </c>
      <c r="F1542" t="s">
        <v>17</v>
      </c>
      <c r="G1542" s="3">
        <v>260</v>
      </c>
      <c r="H1542" s="3">
        <v>60.69</v>
      </c>
      <c r="I1542" s="3">
        <v>15779.4</v>
      </c>
      <c r="J1542" s="3">
        <v>7.04</v>
      </c>
    </row>
    <row r="1543" spans="1:10" x14ac:dyDescent="0.25">
      <c r="A1543" s="2">
        <v>45887</v>
      </c>
      <c r="B1543">
        <v>2025</v>
      </c>
      <c r="C1543" t="s">
        <v>32</v>
      </c>
      <c r="D1543">
        <v>8</v>
      </c>
      <c r="E1543" t="s">
        <v>13</v>
      </c>
      <c r="F1543" t="s">
        <v>18</v>
      </c>
      <c r="G1543" s="3">
        <v>676</v>
      </c>
      <c r="H1543" s="3">
        <v>106.13</v>
      </c>
      <c r="I1543" s="3">
        <v>71743.88</v>
      </c>
      <c r="J1543" s="3">
        <v>8.42</v>
      </c>
    </row>
    <row r="1544" spans="1:10" x14ac:dyDescent="0.25">
      <c r="A1544" s="2">
        <v>45887</v>
      </c>
      <c r="B1544">
        <v>2025</v>
      </c>
      <c r="C1544" t="s">
        <v>32</v>
      </c>
      <c r="D1544">
        <v>8</v>
      </c>
      <c r="E1544" t="s">
        <v>13</v>
      </c>
      <c r="F1544" t="s">
        <v>19</v>
      </c>
      <c r="G1544" s="3">
        <v>186</v>
      </c>
      <c r="H1544" s="3">
        <v>35.49</v>
      </c>
      <c r="I1544" s="3">
        <v>6601.14</v>
      </c>
      <c r="J1544" s="3">
        <v>-12.72</v>
      </c>
    </row>
    <row r="1545" spans="1:10" x14ac:dyDescent="0.25">
      <c r="A1545" s="2">
        <v>45887</v>
      </c>
      <c r="B1545">
        <v>2025</v>
      </c>
      <c r="C1545" t="s">
        <v>32</v>
      </c>
      <c r="D1545">
        <v>8</v>
      </c>
      <c r="E1545" t="s">
        <v>13</v>
      </c>
      <c r="F1545" t="s">
        <v>20</v>
      </c>
      <c r="G1545" s="3">
        <v>600</v>
      </c>
      <c r="H1545" s="3">
        <v>195.59</v>
      </c>
      <c r="I1545" s="3">
        <v>117354</v>
      </c>
      <c r="J1545" s="3">
        <v>3.97</v>
      </c>
    </row>
    <row r="1546" spans="1:10" x14ac:dyDescent="0.25">
      <c r="A1546" s="2">
        <v>45887</v>
      </c>
      <c r="B1546">
        <v>2025</v>
      </c>
      <c r="C1546" t="s">
        <v>32</v>
      </c>
      <c r="D1546">
        <v>8</v>
      </c>
      <c r="E1546" t="s">
        <v>13</v>
      </c>
      <c r="F1546" t="s">
        <v>21</v>
      </c>
      <c r="G1546" s="3">
        <v>488</v>
      </c>
      <c r="H1546" s="3">
        <v>62.07</v>
      </c>
      <c r="I1546" s="3">
        <v>30290.16</v>
      </c>
      <c r="J1546" s="3">
        <v>10.51</v>
      </c>
    </row>
    <row r="1547" spans="1:10" x14ac:dyDescent="0.25">
      <c r="A1547" s="2">
        <v>45887</v>
      </c>
      <c r="B1547">
        <v>2025</v>
      </c>
      <c r="C1547" t="s">
        <v>32</v>
      </c>
      <c r="D1547">
        <v>8</v>
      </c>
      <c r="E1547" t="s">
        <v>13</v>
      </c>
      <c r="F1547" t="s">
        <v>22</v>
      </c>
      <c r="G1547" s="3">
        <v>460</v>
      </c>
      <c r="H1547" s="3">
        <v>187.86</v>
      </c>
      <c r="I1547" s="3">
        <v>86415.6</v>
      </c>
      <c r="J1547" s="3">
        <v>5.93</v>
      </c>
    </row>
    <row r="1548" spans="1:10" x14ac:dyDescent="0.25">
      <c r="A1548" s="2">
        <v>45887</v>
      </c>
      <c r="B1548">
        <v>2025</v>
      </c>
      <c r="C1548" t="s">
        <v>32</v>
      </c>
      <c r="D1548">
        <v>8</v>
      </c>
      <c r="E1548" t="s">
        <v>23</v>
      </c>
      <c r="F1548" t="s">
        <v>12</v>
      </c>
      <c r="G1548" s="3">
        <v>791</v>
      </c>
      <c r="H1548" s="3">
        <v>137.53</v>
      </c>
      <c r="I1548" s="3">
        <v>108786.23</v>
      </c>
      <c r="J1548" s="3">
        <v>-8.84</v>
      </c>
    </row>
    <row r="1549" spans="1:10" x14ac:dyDescent="0.25">
      <c r="A1549" s="2">
        <v>45887</v>
      </c>
      <c r="B1549">
        <v>2025</v>
      </c>
      <c r="C1549" t="s">
        <v>32</v>
      </c>
      <c r="D1549">
        <v>8</v>
      </c>
      <c r="E1549" t="s">
        <v>23</v>
      </c>
      <c r="F1549" t="s">
        <v>25</v>
      </c>
      <c r="G1549" s="3">
        <v>587</v>
      </c>
      <c r="H1549" s="3">
        <v>166.84</v>
      </c>
      <c r="I1549" s="3">
        <v>97935.08</v>
      </c>
      <c r="J1549" s="3">
        <v>3.67</v>
      </c>
    </row>
    <row r="1550" spans="1:10" x14ac:dyDescent="0.25">
      <c r="A1550" s="2">
        <v>45887</v>
      </c>
      <c r="B1550">
        <v>2025</v>
      </c>
      <c r="C1550" t="s">
        <v>32</v>
      </c>
      <c r="D1550">
        <v>8</v>
      </c>
      <c r="E1550" t="s">
        <v>23</v>
      </c>
      <c r="F1550" t="s">
        <v>14</v>
      </c>
      <c r="G1550" s="3">
        <v>425</v>
      </c>
      <c r="H1550" s="3">
        <v>33.43</v>
      </c>
      <c r="I1550" s="3">
        <v>14207.75</v>
      </c>
      <c r="J1550" s="3">
        <v>21.31</v>
      </c>
    </row>
    <row r="1551" spans="1:10" x14ac:dyDescent="0.25">
      <c r="A1551" s="2">
        <v>45887</v>
      </c>
      <c r="B1551">
        <v>2025</v>
      </c>
      <c r="C1551" t="s">
        <v>32</v>
      </c>
      <c r="D1551">
        <v>8</v>
      </c>
      <c r="E1551" t="s">
        <v>23</v>
      </c>
      <c r="F1551" t="s">
        <v>15</v>
      </c>
      <c r="G1551" s="3">
        <v>373</v>
      </c>
      <c r="H1551" s="3">
        <v>54.19</v>
      </c>
      <c r="I1551" s="3">
        <v>20212.87</v>
      </c>
      <c r="J1551" s="3">
        <v>13.07</v>
      </c>
    </row>
    <row r="1552" spans="1:10" x14ac:dyDescent="0.25">
      <c r="A1552" s="2">
        <v>45887</v>
      </c>
      <c r="B1552">
        <v>2025</v>
      </c>
      <c r="C1552" t="s">
        <v>32</v>
      </c>
      <c r="D1552">
        <v>8</v>
      </c>
      <c r="E1552" t="s">
        <v>23</v>
      </c>
      <c r="F1552" t="s">
        <v>16</v>
      </c>
      <c r="G1552" s="3">
        <v>701</v>
      </c>
      <c r="H1552" s="3">
        <v>84.55</v>
      </c>
      <c r="I1552" s="3">
        <v>59269.55</v>
      </c>
      <c r="J1552" s="3">
        <v>21.45</v>
      </c>
    </row>
    <row r="1553" spans="1:10" x14ac:dyDescent="0.25">
      <c r="A1553" s="2">
        <v>45887</v>
      </c>
      <c r="B1553">
        <v>2025</v>
      </c>
      <c r="C1553" t="s">
        <v>32</v>
      </c>
      <c r="D1553">
        <v>8</v>
      </c>
      <c r="E1553" t="s">
        <v>23</v>
      </c>
      <c r="F1553" t="s">
        <v>17</v>
      </c>
      <c r="G1553" s="3">
        <v>95</v>
      </c>
      <c r="H1553" s="3">
        <v>151.83000000000001</v>
      </c>
      <c r="I1553" s="3">
        <v>14423.85</v>
      </c>
      <c r="J1553" s="3">
        <v>21.96</v>
      </c>
    </row>
    <row r="1554" spans="1:10" x14ac:dyDescent="0.25">
      <c r="A1554" s="2">
        <v>45887</v>
      </c>
      <c r="B1554">
        <v>2025</v>
      </c>
      <c r="C1554" t="s">
        <v>32</v>
      </c>
      <c r="D1554">
        <v>8</v>
      </c>
      <c r="E1554" t="s">
        <v>23</v>
      </c>
      <c r="F1554" t="s">
        <v>18</v>
      </c>
      <c r="G1554" s="3">
        <v>318</v>
      </c>
      <c r="H1554" s="3">
        <v>157.97</v>
      </c>
      <c r="I1554" s="3">
        <v>50234.46</v>
      </c>
      <c r="J1554" s="3">
        <v>13.08</v>
      </c>
    </row>
    <row r="1555" spans="1:10" x14ac:dyDescent="0.25">
      <c r="A1555" s="2">
        <v>45887</v>
      </c>
      <c r="B1555">
        <v>2025</v>
      </c>
      <c r="C1555" t="s">
        <v>32</v>
      </c>
      <c r="D1555">
        <v>8</v>
      </c>
      <c r="E1555" t="s">
        <v>23</v>
      </c>
      <c r="F1555" t="s">
        <v>19</v>
      </c>
      <c r="G1555" s="3">
        <v>165</v>
      </c>
      <c r="H1555" s="3">
        <v>141.62</v>
      </c>
      <c r="I1555" s="3">
        <v>23367.3</v>
      </c>
      <c r="J1555" s="3">
        <v>0.84</v>
      </c>
    </row>
    <row r="1556" spans="1:10" x14ac:dyDescent="0.25">
      <c r="A1556" s="2">
        <v>45887</v>
      </c>
      <c r="B1556">
        <v>2025</v>
      </c>
      <c r="C1556" t="s">
        <v>32</v>
      </c>
      <c r="D1556">
        <v>8</v>
      </c>
      <c r="E1556" t="s">
        <v>23</v>
      </c>
      <c r="F1556" t="s">
        <v>20</v>
      </c>
      <c r="G1556" s="3">
        <v>354</v>
      </c>
      <c r="H1556" s="3">
        <v>141.69999999999999</v>
      </c>
      <c r="I1556" s="3">
        <v>50161.8</v>
      </c>
      <c r="J1556" s="3">
        <v>-2.71</v>
      </c>
    </row>
    <row r="1557" spans="1:10" x14ac:dyDescent="0.25">
      <c r="A1557" s="2">
        <v>45887</v>
      </c>
      <c r="B1557">
        <v>2025</v>
      </c>
      <c r="C1557" t="s">
        <v>32</v>
      </c>
      <c r="D1557">
        <v>8</v>
      </c>
      <c r="E1557" t="s">
        <v>23</v>
      </c>
      <c r="F1557" t="s">
        <v>21</v>
      </c>
      <c r="G1557" s="3">
        <v>397</v>
      </c>
      <c r="H1557" s="3">
        <v>188.25</v>
      </c>
      <c r="I1557" s="3">
        <v>74735.25</v>
      </c>
      <c r="J1557" s="3">
        <v>-4.96</v>
      </c>
    </row>
    <row r="1558" spans="1:10" x14ac:dyDescent="0.25">
      <c r="A1558" s="2">
        <v>45887</v>
      </c>
      <c r="B1558">
        <v>2025</v>
      </c>
      <c r="C1558" t="s">
        <v>32</v>
      </c>
      <c r="D1558">
        <v>8</v>
      </c>
      <c r="E1558" t="s">
        <v>23</v>
      </c>
      <c r="F1558" t="s">
        <v>22</v>
      </c>
      <c r="G1558" s="3">
        <v>547</v>
      </c>
      <c r="H1558" s="3">
        <v>125.22</v>
      </c>
      <c r="I1558" s="3">
        <v>68495.34</v>
      </c>
      <c r="J1558" s="3">
        <v>23.77</v>
      </c>
    </row>
    <row r="1559" spans="1:10" x14ac:dyDescent="0.25">
      <c r="A1559" s="2">
        <v>45887</v>
      </c>
      <c r="B1559">
        <v>2025</v>
      </c>
      <c r="C1559" t="s">
        <v>32</v>
      </c>
      <c r="D1559">
        <v>8</v>
      </c>
      <c r="E1559" t="s">
        <v>13</v>
      </c>
      <c r="F1559" t="s">
        <v>24</v>
      </c>
      <c r="G1559" s="3">
        <v>325</v>
      </c>
      <c r="H1559" s="3">
        <v>155.62</v>
      </c>
      <c r="I1559" s="3">
        <v>50576.5</v>
      </c>
      <c r="J1559" s="3">
        <v>19.91</v>
      </c>
    </row>
    <row r="1560" spans="1:10" x14ac:dyDescent="0.25">
      <c r="A1560" s="2">
        <v>45887</v>
      </c>
      <c r="B1560">
        <v>2025</v>
      </c>
      <c r="C1560" t="s">
        <v>32</v>
      </c>
      <c r="D1560">
        <v>8</v>
      </c>
      <c r="E1560" t="s">
        <v>23</v>
      </c>
      <c r="F1560" t="s">
        <v>24</v>
      </c>
      <c r="G1560" s="3">
        <v>281</v>
      </c>
      <c r="H1560" s="3">
        <v>118.06</v>
      </c>
      <c r="I1560" s="3">
        <v>33174.86</v>
      </c>
      <c r="J1560" s="3">
        <v>-9.57</v>
      </c>
    </row>
    <row r="1561" spans="1:10" x14ac:dyDescent="0.25">
      <c r="A1561" s="2">
        <v>45887</v>
      </c>
      <c r="B1561">
        <v>2025</v>
      </c>
      <c r="C1561" t="s">
        <v>32</v>
      </c>
      <c r="D1561">
        <v>8</v>
      </c>
      <c r="E1561" t="s">
        <v>13</v>
      </c>
      <c r="F1561" t="s">
        <v>12</v>
      </c>
      <c r="G1561" s="3">
        <v>524</v>
      </c>
      <c r="H1561" s="3">
        <v>41.52</v>
      </c>
      <c r="I1561" s="3">
        <v>21756.48</v>
      </c>
      <c r="J1561" s="3">
        <v>7.91</v>
      </c>
    </row>
    <row r="1562" spans="1:10" x14ac:dyDescent="0.25">
      <c r="A1562" s="2">
        <v>45887</v>
      </c>
      <c r="B1562">
        <v>2025</v>
      </c>
      <c r="C1562" t="s">
        <v>32</v>
      </c>
      <c r="D1562">
        <v>8</v>
      </c>
      <c r="E1562" t="s">
        <v>26</v>
      </c>
      <c r="F1562" t="s">
        <v>25</v>
      </c>
      <c r="G1562" s="3">
        <v>722</v>
      </c>
      <c r="H1562" s="3">
        <v>133.83000000000001</v>
      </c>
      <c r="I1562" s="3">
        <v>96625.26</v>
      </c>
      <c r="J1562" s="3">
        <v>-9.8699999999999992</v>
      </c>
    </row>
    <row r="1563" spans="1:10" x14ac:dyDescent="0.25">
      <c r="A1563" s="2">
        <v>45887</v>
      </c>
      <c r="B1563">
        <v>2025</v>
      </c>
      <c r="C1563" t="s">
        <v>32</v>
      </c>
      <c r="D1563">
        <v>8</v>
      </c>
      <c r="E1563" t="s">
        <v>26</v>
      </c>
      <c r="F1563" t="s">
        <v>22</v>
      </c>
      <c r="G1563" s="3">
        <v>375</v>
      </c>
      <c r="H1563" s="3">
        <v>126.61</v>
      </c>
      <c r="I1563" s="3">
        <v>47478.75</v>
      </c>
      <c r="J1563" s="3">
        <v>12.79</v>
      </c>
    </row>
    <row r="1564" spans="1:10" x14ac:dyDescent="0.25">
      <c r="A1564" s="2">
        <v>45887</v>
      </c>
      <c r="B1564">
        <v>2025</v>
      </c>
      <c r="C1564" t="s">
        <v>32</v>
      </c>
      <c r="D1564">
        <v>8</v>
      </c>
      <c r="E1564" t="s">
        <v>11</v>
      </c>
      <c r="F1564" t="s">
        <v>24</v>
      </c>
      <c r="G1564" s="3">
        <v>489</v>
      </c>
      <c r="H1564" s="3">
        <v>162.59</v>
      </c>
      <c r="I1564" s="3">
        <v>79506.509999999995</v>
      </c>
      <c r="J1564" s="3">
        <v>12.05</v>
      </c>
    </row>
    <row r="1565" spans="1:10" x14ac:dyDescent="0.25">
      <c r="A1565" s="2">
        <v>45887</v>
      </c>
      <c r="B1565">
        <v>2025</v>
      </c>
      <c r="C1565" t="s">
        <v>32</v>
      </c>
      <c r="D1565">
        <v>8</v>
      </c>
      <c r="E1565" t="s">
        <v>11</v>
      </c>
      <c r="F1565" t="s">
        <v>14</v>
      </c>
      <c r="G1565" s="3">
        <v>213</v>
      </c>
      <c r="H1565" s="3">
        <v>130.61000000000001</v>
      </c>
      <c r="I1565" s="3">
        <v>27819.93</v>
      </c>
      <c r="J1565" s="3">
        <v>8.25</v>
      </c>
    </row>
    <row r="1566" spans="1:10" x14ac:dyDescent="0.25">
      <c r="A1566" s="2">
        <v>45887</v>
      </c>
      <c r="B1566">
        <v>2025</v>
      </c>
      <c r="C1566" t="s">
        <v>32</v>
      </c>
      <c r="D1566">
        <v>8</v>
      </c>
      <c r="E1566" t="s">
        <v>11</v>
      </c>
      <c r="F1566" t="s">
        <v>15</v>
      </c>
      <c r="G1566" s="3">
        <v>712</v>
      </c>
      <c r="H1566" s="3">
        <v>20.2</v>
      </c>
      <c r="I1566" s="3">
        <v>14382.4</v>
      </c>
      <c r="J1566" s="3">
        <v>-4.12</v>
      </c>
    </row>
    <row r="1567" spans="1:10" x14ac:dyDescent="0.25">
      <c r="A1567" s="2">
        <v>45887</v>
      </c>
      <c r="B1567">
        <v>2025</v>
      </c>
      <c r="C1567" t="s">
        <v>32</v>
      </c>
      <c r="D1567">
        <v>8</v>
      </c>
      <c r="E1567" t="s">
        <v>11</v>
      </c>
      <c r="F1567" t="s">
        <v>16</v>
      </c>
      <c r="G1567" s="3">
        <v>748</v>
      </c>
      <c r="H1567" s="3">
        <v>186.37</v>
      </c>
      <c r="I1567" s="3">
        <v>139404.76</v>
      </c>
      <c r="J1567" s="3">
        <v>-1.97</v>
      </c>
    </row>
    <row r="1568" spans="1:10" x14ac:dyDescent="0.25">
      <c r="A1568" s="2">
        <v>45887</v>
      </c>
      <c r="B1568">
        <v>2025</v>
      </c>
      <c r="C1568" t="s">
        <v>32</v>
      </c>
      <c r="D1568">
        <v>8</v>
      </c>
      <c r="E1568" t="s">
        <v>11</v>
      </c>
      <c r="F1568" t="s">
        <v>17</v>
      </c>
      <c r="G1568" s="3">
        <v>511</v>
      </c>
      <c r="H1568" s="3">
        <v>99.63</v>
      </c>
      <c r="I1568" s="3">
        <v>50910.93</v>
      </c>
      <c r="J1568" s="3">
        <v>-13.3</v>
      </c>
    </row>
    <row r="1569" spans="1:10" x14ac:dyDescent="0.25">
      <c r="A1569" s="2">
        <v>45887</v>
      </c>
      <c r="B1569">
        <v>2025</v>
      </c>
      <c r="C1569" t="s">
        <v>32</v>
      </c>
      <c r="D1569">
        <v>8</v>
      </c>
      <c r="E1569" t="s">
        <v>11</v>
      </c>
      <c r="F1569" t="s">
        <v>18</v>
      </c>
      <c r="G1569" s="3">
        <v>445</v>
      </c>
      <c r="H1569" s="3">
        <v>78.239999999999995</v>
      </c>
      <c r="I1569" s="3">
        <v>34816.800000000003</v>
      </c>
      <c r="J1569" s="3">
        <v>11.6</v>
      </c>
    </row>
    <row r="1570" spans="1:10" x14ac:dyDescent="0.25">
      <c r="A1570" s="2">
        <v>45887</v>
      </c>
      <c r="B1570">
        <v>2025</v>
      </c>
      <c r="C1570" t="s">
        <v>32</v>
      </c>
      <c r="D1570">
        <v>8</v>
      </c>
      <c r="E1570" t="s">
        <v>11</v>
      </c>
      <c r="F1570" t="s">
        <v>19</v>
      </c>
      <c r="G1570" s="3">
        <v>191</v>
      </c>
      <c r="H1570" s="3">
        <v>42.93</v>
      </c>
      <c r="I1570" s="3">
        <v>8199.6299999999992</v>
      </c>
      <c r="J1570" s="3">
        <v>-9.9499999999999993</v>
      </c>
    </row>
    <row r="1571" spans="1:10" x14ac:dyDescent="0.25">
      <c r="A1571" s="2">
        <v>45887</v>
      </c>
      <c r="B1571">
        <v>2025</v>
      </c>
      <c r="C1571" t="s">
        <v>32</v>
      </c>
      <c r="D1571">
        <v>8</v>
      </c>
      <c r="E1571" t="s">
        <v>11</v>
      </c>
      <c r="F1571" t="s">
        <v>20</v>
      </c>
      <c r="G1571" s="3">
        <v>576</v>
      </c>
      <c r="H1571" s="3">
        <v>37</v>
      </c>
      <c r="I1571" s="3">
        <v>21312</v>
      </c>
      <c r="J1571" s="3">
        <v>18.260000000000002</v>
      </c>
    </row>
    <row r="1572" spans="1:10" x14ac:dyDescent="0.25">
      <c r="A1572" s="2">
        <v>45887</v>
      </c>
      <c r="B1572">
        <v>2025</v>
      </c>
      <c r="C1572" t="s">
        <v>32</v>
      </c>
      <c r="D1572">
        <v>8</v>
      </c>
      <c r="E1572" t="s">
        <v>11</v>
      </c>
      <c r="F1572" t="s">
        <v>21</v>
      </c>
      <c r="G1572" s="3">
        <v>544</v>
      </c>
      <c r="H1572" s="3">
        <v>109.81</v>
      </c>
      <c r="I1572" s="3">
        <v>59736.639999999999</v>
      </c>
      <c r="J1572" s="3">
        <v>-2.27</v>
      </c>
    </row>
    <row r="1573" spans="1:10" x14ac:dyDescent="0.25">
      <c r="A1573" s="2">
        <v>45887</v>
      </c>
      <c r="B1573">
        <v>2025</v>
      </c>
      <c r="C1573" t="s">
        <v>32</v>
      </c>
      <c r="D1573">
        <v>8</v>
      </c>
      <c r="E1573" t="s">
        <v>11</v>
      </c>
      <c r="F1573" t="s">
        <v>22</v>
      </c>
      <c r="G1573" s="3">
        <v>421</v>
      </c>
      <c r="H1573" s="3">
        <v>136.08000000000001</v>
      </c>
      <c r="I1573" s="3">
        <v>57289.68</v>
      </c>
      <c r="J1573" s="3">
        <v>-3.47</v>
      </c>
    </row>
    <row r="1574" spans="1:10" x14ac:dyDescent="0.25">
      <c r="A1574" s="2">
        <v>45887</v>
      </c>
      <c r="B1574">
        <v>2025</v>
      </c>
      <c r="C1574" t="s">
        <v>32</v>
      </c>
      <c r="D1574">
        <v>8</v>
      </c>
      <c r="E1574" t="s">
        <v>11</v>
      </c>
      <c r="F1574" t="s">
        <v>12</v>
      </c>
      <c r="G1574" s="3">
        <v>255</v>
      </c>
      <c r="H1574" s="3">
        <v>161.26</v>
      </c>
      <c r="I1574" s="3">
        <v>41121.300000000003</v>
      </c>
      <c r="J1574" s="3">
        <v>24.78</v>
      </c>
    </row>
    <row r="1575" spans="1:10" x14ac:dyDescent="0.25">
      <c r="A1575" s="2">
        <v>45887</v>
      </c>
      <c r="B1575">
        <v>2025</v>
      </c>
      <c r="C1575" t="s">
        <v>32</v>
      </c>
      <c r="D1575">
        <v>8</v>
      </c>
      <c r="E1575" t="s">
        <v>26</v>
      </c>
      <c r="F1575" t="s">
        <v>12</v>
      </c>
      <c r="G1575" s="3">
        <v>336</v>
      </c>
      <c r="H1575" s="3">
        <v>78.09</v>
      </c>
      <c r="I1575" s="3">
        <v>26238.240000000002</v>
      </c>
      <c r="J1575" s="3">
        <v>7.17</v>
      </c>
    </row>
    <row r="1576" spans="1:10" x14ac:dyDescent="0.25">
      <c r="A1576" s="2">
        <v>45887</v>
      </c>
      <c r="B1576">
        <v>2025</v>
      </c>
      <c r="C1576" t="s">
        <v>32</v>
      </c>
      <c r="D1576">
        <v>8</v>
      </c>
      <c r="E1576" t="s">
        <v>26</v>
      </c>
      <c r="F1576" t="s">
        <v>24</v>
      </c>
      <c r="G1576" s="3">
        <v>159</v>
      </c>
      <c r="H1576" s="3">
        <v>22.32</v>
      </c>
      <c r="I1576" s="3">
        <v>3548.88</v>
      </c>
      <c r="J1576" s="3">
        <v>6.61</v>
      </c>
    </row>
    <row r="1577" spans="1:10" x14ac:dyDescent="0.25">
      <c r="A1577" s="2">
        <v>45887</v>
      </c>
      <c r="B1577">
        <v>2025</v>
      </c>
      <c r="C1577" t="s">
        <v>32</v>
      </c>
      <c r="D1577">
        <v>8</v>
      </c>
      <c r="E1577" t="s">
        <v>26</v>
      </c>
      <c r="F1577" t="s">
        <v>14</v>
      </c>
      <c r="G1577" s="3">
        <v>300</v>
      </c>
      <c r="H1577" s="3">
        <v>168.25</v>
      </c>
      <c r="I1577" s="3">
        <v>50475</v>
      </c>
      <c r="J1577" s="3">
        <v>20.95</v>
      </c>
    </row>
    <row r="1578" spans="1:10" x14ac:dyDescent="0.25">
      <c r="A1578" s="2">
        <v>45887</v>
      </c>
      <c r="B1578">
        <v>2025</v>
      </c>
      <c r="C1578" t="s">
        <v>32</v>
      </c>
      <c r="D1578">
        <v>8</v>
      </c>
      <c r="E1578" t="s">
        <v>26</v>
      </c>
      <c r="F1578" t="s">
        <v>15</v>
      </c>
      <c r="G1578" s="3">
        <v>375</v>
      </c>
      <c r="H1578" s="3">
        <v>166.21</v>
      </c>
      <c r="I1578" s="3">
        <v>62328.75</v>
      </c>
      <c r="J1578" s="3">
        <v>0.36</v>
      </c>
    </row>
    <row r="1579" spans="1:10" x14ac:dyDescent="0.25">
      <c r="A1579" s="2">
        <v>45887</v>
      </c>
      <c r="B1579">
        <v>2025</v>
      </c>
      <c r="C1579" t="s">
        <v>32</v>
      </c>
      <c r="D1579">
        <v>8</v>
      </c>
      <c r="E1579" t="s">
        <v>26</v>
      </c>
      <c r="F1579" t="s">
        <v>16</v>
      </c>
      <c r="G1579" s="3">
        <v>557</v>
      </c>
      <c r="H1579" s="3">
        <v>60.63</v>
      </c>
      <c r="I1579" s="3">
        <v>33770.910000000003</v>
      </c>
      <c r="J1579" s="3">
        <v>0.6</v>
      </c>
    </row>
    <row r="1580" spans="1:10" x14ac:dyDescent="0.25">
      <c r="A1580" s="2">
        <v>45887</v>
      </c>
      <c r="B1580">
        <v>2025</v>
      </c>
      <c r="C1580" t="s">
        <v>32</v>
      </c>
      <c r="D1580">
        <v>8</v>
      </c>
      <c r="E1580" t="s">
        <v>26</v>
      </c>
      <c r="F1580" t="s">
        <v>17</v>
      </c>
      <c r="G1580" s="3">
        <v>690</v>
      </c>
      <c r="H1580" s="3">
        <v>76.69</v>
      </c>
      <c r="I1580" s="3">
        <v>52916.1</v>
      </c>
      <c r="J1580" s="3">
        <v>-11.13</v>
      </c>
    </row>
    <row r="1581" spans="1:10" x14ac:dyDescent="0.25">
      <c r="A1581" s="2">
        <v>45887</v>
      </c>
      <c r="B1581">
        <v>2025</v>
      </c>
      <c r="C1581" t="s">
        <v>32</v>
      </c>
      <c r="D1581">
        <v>8</v>
      </c>
      <c r="E1581" t="s">
        <v>26</v>
      </c>
      <c r="F1581" t="s">
        <v>18</v>
      </c>
      <c r="G1581" s="3">
        <v>636</v>
      </c>
      <c r="H1581" s="3">
        <v>169.35</v>
      </c>
      <c r="I1581" s="3">
        <v>107706.6</v>
      </c>
      <c r="J1581" s="3">
        <v>24.07</v>
      </c>
    </row>
    <row r="1582" spans="1:10" x14ac:dyDescent="0.25">
      <c r="A1582" s="2">
        <v>45887</v>
      </c>
      <c r="B1582">
        <v>2025</v>
      </c>
      <c r="C1582" t="s">
        <v>32</v>
      </c>
      <c r="D1582">
        <v>8</v>
      </c>
      <c r="E1582" t="s">
        <v>26</v>
      </c>
      <c r="F1582" t="s">
        <v>19</v>
      </c>
      <c r="G1582" s="3">
        <v>103</v>
      </c>
      <c r="H1582" s="3">
        <v>177.25</v>
      </c>
      <c r="I1582" s="3">
        <v>18256.75</v>
      </c>
      <c r="J1582" s="3">
        <v>24.82</v>
      </c>
    </row>
    <row r="1583" spans="1:10" x14ac:dyDescent="0.25">
      <c r="A1583" s="2">
        <v>45887</v>
      </c>
      <c r="B1583">
        <v>2025</v>
      </c>
      <c r="C1583" t="s">
        <v>32</v>
      </c>
      <c r="D1583">
        <v>8</v>
      </c>
      <c r="E1583" t="s">
        <v>26</v>
      </c>
      <c r="F1583" t="s">
        <v>20</v>
      </c>
      <c r="G1583" s="3">
        <v>607</v>
      </c>
      <c r="H1583" s="3">
        <v>103.49</v>
      </c>
      <c r="I1583" s="3">
        <v>62818.43</v>
      </c>
      <c r="J1583" s="3">
        <v>-2.2000000000000002</v>
      </c>
    </row>
    <row r="1584" spans="1:10" x14ac:dyDescent="0.25">
      <c r="A1584" s="2">
        <v>45887</v>
      </c>
      <c r="B1584">
        <v>2025</v>
      </c>
      <c r="C1584" t="s">
        <v>32</v>
      </c>
      <c r="D1584">
        <v>8</v>
      </c>
      <c r="E1584" t="s">
        <v>26</v>
      </c>
      <c r="F1584" t="s">
        <v>21</v>
      </c>
      <c r="G1584" s="3">
        <v>486</v>
      </c>
      <c r="H1584" s="3">
        <v>75.03</v>
      </c>
      <c r="I1584" s="3">
        <v>36464.58</v>
      </c>
      <c r="J1584" s="3">
        <v>1.1100000000000001</v>
      </c>
    </row>
    <row r="1585" spans="1:10" x14ac:dyDescent="0.25">
      <c r="A1585" s="2">
        <v>45887</v>
      </c>
      <c r="B1585">
        <v>2025</v>
      </c>
      <c r="C1585" t="s">
        <v>32</v>
      </c>
      <c r="D1585">
        <v>8</v>
      </c>
      <c r="E1585" t="s">
        <v>11</v>
      </c>
      <c r="F1585" t="s">
        <v>25</v>
      </c>
      <c r="G1585" s="3">
        <v>255</v>
      </c>
      <c r="H1585" s="3">
        <v>41.28</v>
      </c>
      <c r="I1585" s="3">
        <v>10526.4</v>
      </c>
      <c r="J1585" s="3">
        <v>-15</v>
      </c>
    </row>
    <row r="1586" spans="1:10" x14ac:dyDescent="0.25">
      <c r="A1586" s="2">
        <v>45917</v>
      </c>
      <c r="B1586">
        <v>2025</v>
      </c>
      <c r="C1586" t="s">
        <v>33</v>
      </c>
      <c r="D1586">
        <v>9</v>
      </c>
      <c r="E1586" t="s">
        <v>13</v>
      </c>
      <c r="F1586" t="s">
        <v>21</v>
      </c>
      <c r="G1586" s="3">
        <v>235</v>
      </c>
      <c r="H1586" s="3">
        <v>99.66</v>
      </c>
      <c r="I1586" s="3">
        <v>23420.1</v>
      </c>
      <c r="J1586" s="3">
        <v>-13.07</v>
      </c>
    </row>
    <row r="1587" spans="1:10" x14ac:dyDescent="0.25">
      <c r="A1587" s="2">
        <v>45917</v>
      </c>
      <c r="B1587">
        <v>2025</v>
      </c>
      <c r="C1587" t="s">
        <v>33</v>
      </c>
      <c r="D1587">
        <v>9</v>
      </c>
      <c r="E1587" t="s">
        <v>13</v>
      </c>
      <c r="F1587" t="s">
        <v>20</v>
      </c>
      <c r="G1587" s="3">
        <v>732</v>
      </c>
      <c r="H1587" s="3">
        <v>102.68</v>
      </c>
      <c r="I1587" s="3">
        <v>75161.759999999995</v>
      </c>
      <c r="J1587" s="3">
        <v>15.09</v>
      </c>
    </row>
    <row r="1588" spans="1:10" x14ac:dyDescent="0.25">
      <c r="A1588" s="2">
        <v>45917</v>
      </c>
      <c r="B1588">
        <v>2025</v>
      </c>
      <c r="C1588" t="s">
        <v>33</v>
      </c>
      <c r="D1588">
        <v>9</v>
      </c>
      <c r="E1588" t="s">
        <v>13</v>
      </c>
      <c r="F1588" t="s">
        <v>19</v>
      </c>
      <c r="G1588" s="3">
        <v>221</v>
      </c>
      <c r="H1588" s="3">
        <v>29.82</v>
      </c>
      <c r="I1588" s="3">
        <v>6590.22</v>
      </c>
      <c r="J1588" s="3">
        <v>8.98</v>
      </c>
    </row>
    <row r="1589" spans="1:10" x14ac:dyDescent="0.25">
      <c r="A1589" s="2">
        <v>45917</v>
      </c>
      <c r="B1589">
        <v>2025</v>
      </c>
      <c r="C1589" t="s">
        <v>33</v>
      </c>
      <c r="D1589">
        <v>9</v>
      </c>
      <c r="E1589" t="s">
        <v>13</v>
      </c>
      <c r="F1589" t="s">
        <v>14</v>
      </c>
      <c r="G1589" s="3">
        <v>406</v>
      </c>
      <c r="H1589" s="3">
        <v>21.89</v>
      </c>
      <c r="I1589" s="3">
        <v>8887.34</v>
      </c>
      <c r="J1589" s="3">
        <v>20.8</v>
      </c>
    </row>
    <row r="1590" spans="1:10" x14ac:dyDescent="0.25">
      <c r="A1590" s="2">
        <v>45917</v>
      </c>
      <c r="B1590">
        <v>2025</v>
      </c>
      <c r="C1590" t="s">
        <v>33</v>
      </c>
      <c r="D1590">
        <v>9</v>
      </c>
      <c r="E1590" t="s">
        <v>13</v>
      </c>
      <c r="F1590" t="s">
        <v>17</v>
      </c>
      <c r="G1590" s="3">
        <v>590</v>
      </c>
      <c r="H1590" s="3">
        <v>70.459999999999994</v>
      </c>
      <c r="I1590" s="3">
        <v>41571.4</v>
      </c>
      <c r="J1590" s="3">
        <v>-9.7100000000000009</v>
      </c>
    </row>
    <row r="1591" spans="1:10" x14ac:dyDescent="0.25">
      <c r="A1591" s="2">
        <v>45917</v>
      </c>
      <c r="B1591">
        <v>2025</v>
      </c>
      <c r="C1591" t="s">
        <v>33</v>
      </c>
      <c r="D1591">
        <v>9</v>
      </c>
      <c r="E1591" t="s">
        <v>13</v>
      </c>
      <c r="F1591" t="s">
        <v>16</v>
      </c>
      <c r="G1591" s="3">
        <v>472</v>
      </c>
      <c r="H1591" s="3">
        <v>196.85</v>
      </c>
      <c r="I1591" s="3">
        <v>92913.2</v>
      </c>
      <c r="J1591" s="3">
        <v>-11.55</v>
      </c>
    </row>
    <row r="1592" spans="1:10" x14ac:dyDescent="0.25">
      <c r="A1592" s="2">
        <v>45917</v>
      </c>
      <c r="B1592">
        <v>2025</v>
      </c>
      <c r="C1592" t="s">
        <v>33</v>
      </c>
      <c r="D1592">
        <v>9</v>
      </c>
      <c r="E1592" t="s">
        <v>13</v>
      </c>
      <c r="F1592" t="s">
        <v>15</v>
      </c>
      <c r="G1592" s="3">
        <v>278</v>
      </c>
      <c r="H1592" s="3">
        <v>161.47</v>
      </c>
      <c r="I1592" s="3">
        <v>44888.66</v>
      </c>
      <c r="J1592" s="3">
        <v>9.7200000000000006</v>
      </c>
    </row>
    <row r="1593" spans="1:10" x14ac:dyDescent="0.25">
      <c r="A1593" s="2">
        <v>45917</v>
      </c>
      <c r="B1593">
        <v>2025</v>
      </c>
      <c r="C1593" t="s">
        <v>33</v>
      </c>
      <c r="D1593">
        <v>9</v>
      </c>
      <c r="E1593" t="s">
        <v>13</v>
      </c>
      <c r="F1593" t="s">
        <v>22</v>
      </c>
      <c r="G1593" s="3">
        <v>427</v>
      </c>
      <c r="H1593" s="3">
        <v>99.41</v>
      </c>
      <c r="I1593" s="3">
        <v>42448.07</v>
      </c>
      <c r="J1593" s="3">
        <v>-7.02</v>
      </c>
    </row>
    <row r="1594" spans="1:10" x14ac:dyDescent="0.25">
      <c r="A1594" s="2">
        <v>45917</v>
      </c>
      <c r="B1594">
        <v>2025</v>
      </c>
      <c r="C1594" t="s">
        <v>33</v>
      </c>
      <c r="D1594">
        <v>9</v>
      </c>
      <c r="E1594" t="s">
        <v>13</v>
      </c>
      <c r="F1594" t="s">
        <v>18</v>
      </c>
      <c r="G1594" s="3">
        <v>320</v>
      </c>
      <c r="H1594" s="3">
        <v>129.87</v>
      </c>
      <c r="I1594" s="3">
        <v>41558.400000000001</v>
      </c>
      <c r="J1594" s="3">
        <v>-14.04</v>
      </c>
    </row>
    <row r="1595" spans="1:10" x14ac:dyDescent="0.25">
      <c r="A1595" s="2">
        <v>45917</v>
      </c>
      <c r="B1595">
        <v>2025</v>
      </c>
      <c r="C1595" t="s">
        <v>33</v>
      </c>
      <c r="D1595">
        <v>9</v>
      </c>
      <c r="E1595" t="s">
        <v>13</v>
      </c>
      <c r="F1595" t="s">
        <v>25</v>
      </c>
      <c r="G1595" s="3">
        <v>245</v>
      </c>
      <c r="H1595" s="3">
        <v>83.56</v>
      </c>
      <c r="I1595" s="3">
        <v>20472.2</v>
      </c>
      <c r="J1595" s="3">
        <v>16.989999999999998</v>
      </c>
    </row>
    <row r="1596" spans="1:10" x14ac:dyDescent="0.25">
      <c r="A1596" s="2">
        <v>45917</v>
      </c>
      <c r="B1596">
        <v>2025</v>
      </c>
      <c r="C1596" t="s">
        <v>33</v>
      </c>
      <c r="D1596">
        <v>9</v>
      </c>
      <c r="E1596" t="s">
        <v>23</v>
      </c>
      <c r="F1596" t="s">
        <v>17</v>
      </c>
      <c r="G1596" s="3">
        <v>711</v>
      </c>
      <c r="H1596" s="3">
        <v>30.73</v>
      </c>
      <c r="I1596" s="3">
        <v>21849.03</v>
      </c>
      <c r="J1596" s="3">
        <v>9.17</v>
      </c>
    </row>
    <row r="1597" spans="1:10" x14ac:dyDescent="0.25">
      <c r="A1597" s="2">
        <v>45917</v>
      </c>
      <c r="B1597">
        <v>2025</v>
      </c>
      <c r="C1597" t="s">
        <v>33</v>
      </c>
      <c r="D1597">
        <v>9</v>
      </c>
      <c r="E1597" t="s">
        <v>23</v>
      </c>
      <c r="F1597" t="s">
        <v>24</v>
      </c>
      <c r="G1597" s="3">
        <v>475</v>
      </c>
      <c r="H1597" s="3">
        <v>161.19</v>
      </c>
      <c r="I1597" s="3">
        <v>76565.25</v>
      </c>
      <c r="J1597" s="3">
        <v>8.94</v>
      </c>
    </row>
    <row r="1598" spans="1:10" x14ac:dyDescent="0.25">
      <c r="A1598" s="2">
        <v>45917</v>
      </c>
      <c r="B1598">
        <v>2025</v>
      </c>
      <c r="C1598" t="s">
        <v>33</v>
      </c>
      <c r="D1598">
        <v>9</v>
      </c>
      <c r="E1598" t="s">
        <v>23</v>
      </c>
      <c r="F1598" t="s">
        <v>14</v>
      </c>
      <c r="G1598" s="3">
        <v>616</v>
      </c>
      <c r="H1598" s="3">
        <v>64.53</v>
      </c>
      <c r="I1598" s="3">
        <v>39750.480000000003</v>
      </c>
      <c r="J1598" s="3">
        <v>19.649999999999999</v>
      </c>
    </row>
    <row r="1599" spans="1:10" x14ac:dyDescent="0.25">
      <c r="A1599" s="2">
        <v>45917</v>
      </c>
      <c r="B1599">
        <v>2025</v>
      </c>
      <c r="C1599" t="s">
        <v>33</v>
      </c>
      <c r="D1599">
        <v>9</v>
      </c>
      <c r="E1599" t="s">
        <v>23</v>
      </c>
      <c r="F1599" t="s">
        <v>15</v>
      </c>
      <c r="G1599" s="3">
        <v>728</v>
      </c>
      <c r="H1599" s="3">
        <v>128.91999999999999</v>
      </c>
      <c r="I1599" s="3">
        <v>93853.759999999995</v>
      </c>
      <c r="J1599" s="3">
        <v>-6.18</v>
      </c>
    </row>
    <row r="1600" spans="1:10" x14ac:dyDescent="0.25">
      <c r="A1600" s="2">
        <v>45917</v>
      </c>
      <c r="B1600">
        <v>2025</v>
      </c>
      <c r="C1600" t="s">
        <v>33</v>
      </c>
      <c r="D1600">
        <v>9</v>
      </c>
      <c r="E1600" t="s">
        <v>23</v>
      </c>
      <c r="F1600" t="s">
        <v>16</v>
      </c>
      <c r="G1600" s="3">
        <v>680</v>
      </c>
      <c r="H1600" s="3">
        <v>106.1</v>
      </c>
      <c r="I1600" s="3">
        <v>72148</v>
      </c>
      <c r="J1600" s="3">
        <v>-14.16</v>
      </c>
    </row>
    <row r="1601" spans="1:10" x14ac:dyDescent="0.25">
      <c r="A1601" s="2">
        <v>45917</v>
      </c>
      <c r="B1601">
        <v>2025</v>
      </c>
      <c r="C1601" t="s">
        <v>33</v>
      </c>
      <c r="D1601">
        <v>9</v>
      </c>
      <c r="E1601" t="s">
        <v>23</v>
      </c>
      <c r="F1601" t="s">
        <v>18</v>
      </c>
      <c r="G1601" s="3">
        <v>603</v>
      </c>
      <c r="H1601" s="3">
        <v>71.010000000000005</v>
      </c>
      <c r="I1601" s="3">
        <v>42819.03</v>
      </c>
      <c r="J1601" s="3">
        <v>18.489999999999998</v>
      </c>
    </row>
    <row r="1602" spans="1:10" x14ac:dyDescent="0.25">
      <c r="A1602" s="2">
        <v>45917</v>
      </c>
      <c r="B1602">
        <v>2025</v>
      </c>
      <c r="C1602" t="s">
        <v>33</v>
      </c>
      <c r="D1602">
        <v>9</v>
      </c>
      <c r="E1602" t="s">
        <v>23</v>
      </c>
      <c r="F1602" t="s">
        <v>19</v>
      </c>
      <c r="G1602" s="3">
        <v>300</v>
      </c>
      <c r="H1602" s="3">
        <v>139.97</v>
      </c>
      <c r="I1602" s="3">
        <v>41991</v>
      </c>
      <c r="J1602" s="3">
        <v>-11.8</v>
      </c>
    </row>
    <row r="1603" spans="1:10" x14ac:dyDescent="0.25">
      <c r="A1603" s="2">
        <v>45917</v>
      </c>
      <c r="B1603">
        <v>2025</v>
      </c>
      <c r="C1603" t="s">
        <v>33</v>
      </c>
      <c r="D1603">
        <v>9</v>
      </c>
      <c r="E1603" t="s">
        <v>23</v>
      </c>
      <c r="F1603" t="s">
        <v>20</v>
      </c>
      <c r="G1603" s="3">
        <v>172</v>
      </c>
      <c r="H1603" s="3">
        <v>49.41</v>
      </c>
      <c r="I1603" s="3">
        <v>8498.52</v>
      </c>
      <c r="J1603" s="3">
        <v>-7.62</v>
      </c>
    </row>
    <row r="1604" spans="1:10" x14ac:dyDescent="0.25">
      <c r="A1604" s="2">
        <v>45917</v>
      </c>
      <c r="B1604">
        <v>2025</v>
      </c>
      <c r="C1604" t="s">
        <v>33</v>
      </c>
      <c r="D1604">
        <v>9</v>
      </c>
      <c r="E1604" t="s">
        <v>23</v>
      </c>
      <c r="F1604" t="s">
        <v>21</v>
      </c>
      <c r="G1604" s="3">
        <v>397</v>
      </c>
      <c r="H1604" s="3">
        <v>63.95</v>
      </c>
      <c r="I1604" s="3">
        <v>25388.15</v>
      </c>
      <c r="J1604" s="3">
        <v>8.92</v>
      </c>
    </row>
    <row r="1605" spans="1:10" x14ac:dyDescent="0.25">
      <c r="A1605" s="2">
        <v>45917</v>
      </c>
      <c r="B1605">
        <v>2025</v>
      </c>
      <c r="C1605" t="s">
        <v>33</v>
      </c>
      <c r="D1605">
        <v>9</v>
      </c>
      <c r="E1605" t="s">
        <v>23</v>
      </c>
      <c r="F1605" t="s">
        <v>22</v>
      </c>
      <c r="G1605" s="3">
        <v>445</v>
      </c>
      <c r="H1605" s="3">
        <v>91.6</v>
      </c>
      <c r="I1605" s="3">
        <v>40762</v>
      </c>
      <c r="J1605" s="3">
        <v>5.47</v>
      </c>
    </row>
    <row r="1606" spans="1:10" x14ac:dyDescent="0.25">
      <c r="A1606" s="2">
        <v>45917</v>
      </c>
      <c r="B1606">
        <v>2025</v>
      </c>
      <c r="C1606" t="s">
        <v>33</v>
      </c>
      <c r="D1606">
        <v>9</v>
      </c>
      <c r="E1606" t="s">
        <v>13</v>
      </c>
      <c r="F1606" t="s">
        <v>24</v>
      </c>
      <c r="G1606" s="3">
        <v>647</v>
      </c>
      <c r="H1606" s="3">
        <v>104.51</v>
      </c>
      <c r="I1606" s="3">
        <v>67617.97</v>
      </c>
      <c r="J1606" s="3">
        <v>1.91</v>
      </c>
    </row>
    <row r="1607" spans="1:10" x14ac:dyDescent="0.25">
      <c r="A1607" s="2">
        <v>45917</v>
      </c>
      <c r="B1607">
        <v>2025</v>
      </c>
      <c r="C1607" t="s">
        <v>33</v>
      </c>
      <c r="D1607">
        <v>9</v>
      </c>
      <c r="E1607" t="s">
        <v>23</v>
      </c>
      <c r="F1607" t="s">
        <v>25</v>
      </c>
      <c r="G1607" s="3">
        <v>196</v>
      </c>
      <c r="H1607" s="3">
        <v>179.04</v>
      </c>
      <c r="I1607" s="3">
        <v>35091.839999999997</v>
      </c>
      <c r="J1607" s="3">
        <v>-4.18</v>
      </c>
    </row>
    <row r="1608" spans="1:10" x14ac:dyDescent="0.25">
      <c r="A1608" s="2">
        <v>45917</v>
      </c>
      <c r="B1608">
        <v>2025</v>
      </c>
      <c r="C1608" t="s">
        <v>33</v>
      </c>
      <c r="D1608">
        <v>9</v>
      </c>
      <c r="E1608" t="s">
        <v>13</v>
      </c>
      <c r="F1608" t="s">
        <v>12</v>
      </c>
      <c r="G1608" s="3">
        <v>439</v>
      </c>
      <c r="H1608" s="3">
        <v>149.97</v>
      </c>
      <c r="I1608" s="3">
        <v>65836.83</v>
      </c>
      <c r="J1608" s="3">
        <v>-13.39</v>
      </c>
    </row>
    <row r="1609" spans="1:10" x14ac:dyDescent="0.25">
      <c r="A1609" s="2">
        <v>45917</v>
      </c>
      <c r="B1609">
        <v>2025</v>
      </c>
      <c r="C1609" t="s">
        <v>33</v>
      </c>
      <c r="D1609">
        <v>9</v>
      </c>
      <c r="E1609" t="s">
        <v>23</v>
      </c>
      <c r="F1609" t="s">
        <v>12</v>
      </c>
      <c r="G1609" s="3">
        <v>71</v>
      </c>
      <c r="H1609" s="3">
        <v>59.27</v>
      </c>
      <c r="I1609" s="3">
        <v>4208.17</v>
      </c>
      <c r="J1609" s="3">
        <v>22.42</v>
      </c>
    </row>
    <row r="1610" spans="1:10" x14ac:dyDescent="0.25">
      <c r="A1610" s="2">
        <v>45917</v>
      </c>
      <c r="B1610">
        <v>2025</v>
      </c>
      <c r="C1610" t="s">
        <v>33</v>
      </c>
      <c r="D1610">
        <v>9</v>
      </c>
      <c r="E1610" t="s">
        <v>26</v>
      </c>
      <c r="F1610" t="s">
        <v>22</v>
      </c>
      <c r="G1610" s="3">
        <v>304</v>
      </c>
      <c r="H1610" s="3">
        <v>189.36</v>
      </c>
      <c r="I1610" s="3">
        <v>57565.440000000002</v>
      </c>
      <c r="J1610" s="3">
        <v>-10.029999999999999</v>
      </c>
    </row>
    <row r="1611" spans="1:10" x14ac:dyDescent="0.25">
      <c r="A1611" s="2">
        <v>45917</v>
      </c>
      <c r="B1611">
        <v>2025</v>
      </c>
      <c r="C1611" t="s">
        <v>33</v>
      </c>
      <c r="D1611">
        <v>9</v>
      </c>
      <c r="E1611" t="s">
        <v>11</v>
      </c>
      <c r="F1611" t="s">
        <v>12</v>
      </c>
      <c r="G1611" s="3">
        <v>213</v>
      </c>
      <c r="H1611" s="3">
        <v>49.89</v>
      </c>
      <c r="I1611" s="3">
        <v>10626.57</v>
      </c>
      <c r="J1611" s="3">
        <v>-12.56</v>
      </c>
    </row>
    <row r="1612" spans="1:10" x14ac:dyDescent="0.25">
      <c r="A1612" s="2">
        <v>45917</v>
      </c>
      <c r="B1612">
        <v>2025</v>
      </c>
      <c r="C1612" t="s">
        <v>33</v>
      </c>
      <c r="D1612">
        <v>9</v>
      </c>
      <c r="E1612" t="s">
        <v>11</v>
      </c>
      <c r="F1612" t="s">
        <v>24</v>
      </c>
      <c r="G1612" s="3">
        <v>397</v>
      </c>
      <c r="H1612" s="3">
        <v>199.59</v>
      </c>
      <c r="I1612" s="3">
        <v>79237.23</v>
      </c>
      <c r="J1612" s="3">
        <v>3.07</v>
      </c>
    </row>
    <row r="1613" spans="1:10" x14ac:dyDescent="0.25">
      <c r="A1613" s="2">
        <v>45917</v>
      </c>
      <c r="B1613">
        <v>2025</v>
      </c>
      <c r="C1613" t="s">
        <v>33</v>
      </c>
      <c r="D1613">
        <v>9</v>
      </c>
      <c r="E1613" t="s">
        <v>11</v>
      </c>
      <c r="F1613" t="s">
        <v>14</v>
      </c>
      <c r="G1613" s="3">
        <v>463</v>
      </c>
      <c r="H1613" s="3">
        <v>189.39</v>
      </c>
      <c r="I1613" s="3">
        <v>87687.57</v>
      </c>
      <c r="J1613" s="3">
        <v>19.91</v>
      </c>
    </row>
    <row r="1614" spans="1:10" x14ac:dyDescent="0.25">
      <c r="A1614" s="2">
        <v>45917</v>
      </c>
      <c r="B1614">
        <v>2025</v>
      </c>
      <c r="C1614" t="s">
        <v>33</v>
      </c>
      <c r="D1614">
        <v>9</v>
      </c>
      <c r="E1614" t="s">
        <v>11</v>
      </c>
      <c r="F1614" t="s">
        <v>15</v>
      </c>
      <c r="G1614" s="3">
        <v>671</v>
      </c>
      <c r="H1614" s="3">
        <v>178.99</v>
      </c>
      <c r="I1614" s="3">
        <v>120102.29</v>
      </c>
      <c r="J1614" s="3">
        <v>1.59</v>
      </c>
    </row>
    <row r="1615" spans="1:10" x14ac:dyDescent="0.25">
      <c r="A1615" s="2">
        <v>45917</v>
      </c>
      <c r="B1615">
        <v>2025</v>
      </c>
      <c r="C1615" t="s">
        <v>33</v>
      </c>
      <c r="D1615">
        <v>9</v>
      </c>
      <c r="E1615" t="s">
        <v>11</v>
      </c>
      <c r="F1615" t="s">
        <v>16</v>
      </c>
      <c r="G1615" s="3">
        <v>667</v>
      </c>
      <c r="H1615" s="3">
        <v>130.52000000000001</v>
      </c>
      <c r="I1615" s="3">
        <v>87056.84</v>
      </c>
      <c r="J1615" s="3">
        <v>9.66</v>
      </c>
    </row>
    <row r="1616" spans="1:10" x14ac:dyDescent="0.25">
      <c r="A1616" s="2">
        <v>45917</v>
      </c>
      <c r="B1616">
        <v>2025</v>
      </c>
      <c r="C1616" t="s">
        <v>33</v>
      </c>
      <c r="D1616">
        <v>9</v>
      </c>
      <c r="E1616" t="s">
        <v>11</v>
      </c>
      <c r="F1616" t="s">
        <v>17</v>
      </c>
      <c r="G1616" s="3">
        <v>295</v>
      </c>
      <c r="H1616" s="3">
        <v>136.68</v>
      </c>
      <c r="I1616" s="3">
        <v>40320.6</v>
      </c>
      <c r="J1616" s="3">
        <v>-12.54</v>
      </c>
    </row>
    <row r="1617" spans="1:10" x14ac:dyDescent="0.25">
      <c r="A1617" s="2">
        <v>45917</v>
      </c>
      <c r="B1617">
        <v>2025</v>
      </c>
      <c r="C1617" t="s">
        <v>33</v>
      </c>
      <c r="D1617">
        <v>9</v>
      </c>
      <c r="E1617" t="s">
        <v>26</v>
      </c>
      <c r="F1617" t="s">
        <v>25</v>
      </c>
      <c r="G1617" s="3">
        <v>491</v>
      </c>
      <c r="H1617" s="3">
        <v>197.79</v>
      </c>
      <c r="I1617" s="3">
        <v>97114.89</v>
      </c>
      <c r="J1617" s="3">
        <v>-1.97</v>
      </c>
    </row>
    <row r="1618" spans="1:10" x14ac:dyDescent="0.25">
      <c r="A1618" s="2">
        <v>45917</v>
      </c>
      <c r="B1618">
        <v>2025</v>
      </c>
      <c r="C1618" t="s">
        <v>33</v>
      </c>
      <c r="D1618">
        <v>9</v>
      </c>
      <c r="E1618" t="s">
        <v>11</v>
      </c>
      <c r="F1618" t="s">
        <v>19</v>
      </c>
      <c r="G1618" s="3">
        <v>771</v>
      </c>
      <c r="H1618" s="3">
        <v>55.58</v>
      </c>
      <c r="I1618" s="3">
        <v>42852.18</v>
      </c>
      <c r="J1618" s="3">
        <v>-7.78</v>
      </c>
    </row>
    <row r="1619" spans="1:10" x14ac:dyDescent="0.25">
      <c r="A1619" s="2">
        <v>45917</v>
      </c>
      <c r="B1619">
        <v>2025</v>
      </c>
      <c r="C1619" t="s">
        <v>33</v>
      </c>
      <c r="D1619">
        <v>9</v>
      </c>
      <c r="E1619" t="s">
        <v>11</v>
      </c>
      <c r="F1619" t="s">
        <v>20</v>
      </c>
      <c r="G1619" s="3">
        <v>490</v>
      </c>
      <c r="H1619" s="3">
        <v>128.33000000000001</v>
      </c>
      <c r="I1619" s="3">
        <v>62881.7</v>
      </c>
      <c r="J1619" s="3">
        <v>8.27</v>
      </c>
    </row>
    <row r="1620" spans="1:10" x14ac:dyDescent="0.25">
      <c r="A1620" s="2">
        <v>45917</v>
      </c>
      <c r="B1620">
        <v>2025</v>
      </c>
      <c r="C1620" t="s">
        <v>33</v>
      </c>
      <c r="D1620">
        <v>9</v>
      </c>
      <c r="E1620" t="s">
        <v>11</v>
      </c>
      <c r="F1620" t="s">
        <v>21</v>
      </c>
      <c r="G1620" s="3">
        <v>791</v>
      </c>
      <c r="H1620" s="3">
        <v>176.27</v>
      </c>
      <c r="I1620" s="3">
        <v>139429.57</v>
      </c>
      <c r="J1620" s="3">
        <v>-3.11</v>
      </c>
    </row>
    <row r="1621" spans="1:10" x14ac:dyDescent="0.25">
      <c r="A1621" s="2">
        <v>45917</v>
      </c>
      <c r="B1621">
        <v>2025</v>
      </c>
      <c r="C1621" t="s">
        <v>33</v>
      </c>
      <c r="D1621">
        <v>9</v>
      </c>
      <c r="E1621" t="s">
        <v>11</v>
      </c>
      <c r="F1621" t="s">
        <v>22</v>
      </c>
      <c r="G1621" s="3">
        <v>797</v>
      </c>
      <c r="H1621" s="3">
        <v>90.51</v>
      </c>
      <c r="I1621" s="3">
        <v>72136.47</v>
      </c>
      <c r="J1621" s="3">
        <v>-8.49</v>
      </c>
    </row>
    <row r="1622" spans="1:10" x14ac:dyDescent="0.25">
      <c r="A1622" s="2">
        <v>45917</v>
      </c>
      <c r="B1622">
        <v>2025</v>
      </c>
      <c r="C1622" t="s">
        <v>33</v>
      </c>
      <c r="D1622">
        <v>9</v>
      </c>
      <c r="E1622" t="s">
        <v>11</v>
      </c>
      <c r="F1622" t="s">
        <v>18</v>
      </c>
      <c r="G1622" s="3">
        <v>136</v>
      </c>
      <c r="H1622" s="3">
        <v>94.69</v>
      </c>
      <c r="I1622" s="3">
        <v>12877.84</v>
      </c>
      <c r="J1622" s="3">
        <v>14.22</v>
      </c>
    </row>
    <row r="1623" spans="1:10" x14ac:dyDescent="0.25">
      <c r="A1623" s="2">
        <v>45917</v>
      </c>
      <c r="B1623">
        <v>2025</v>
      </c>
      <c r="C1623" t="s">
        <v>33</v>
      </c>
      <c r="D1623">
        <v>9</v>
      </c>
      <c r="E1623" t="s">
        <v>26</v>
      </c>
      <c r="F1623" t="s">
        <v>12</v>
      </c>
      <c r="G1623" s="3">
        <v>562</v>
      </c>
      <c r="H1623" s="3">
        <v>27.55</v>
      </c>
      <c r="I1623" s="3">
        <v>15483.1</v>
      </c>
      <c r="J1623" s="3">
        <v>-0.45</v>
      </c>
    </row>
    <row r="1624" spans="1:10" x14ac:dyDescent="0.25">
      <c r="A1624" s="2">
        <v>45917</v>
      </c>
      <c r="B1624">
        <v>2025</v>
      </c>
      <c r="C1624" t="s">
        <v>33</v>
      </c>
      <c r="D1624">
        <v>9</v>
      </c>
      <c r="E1624" t="s">
        <v>26</v>
      </c>
      <c r="F1624" t="s">
        <v>24</v>
      </c>
      <c r="G1624" s="3">
        <v>238</v>
      </c>
      <c r="H1624" s="3">
        <v>123.86</v>
      </c>
      <c r="I1624" s="3">
        <v>29478.68</v>
      </c>
      <c r="J1624" s="3">
        <v>-1.18</v>
      </c>
    </row>
    <row r="1625" spans="1:10" x14ac:dyDescent="0.25">
      <c r="A1625" s="2">
        <v>45917</v>
      </c>
      <c r="B1625">
        <v>2025</v>
      </c>
      <c r="C1625" t="s">
        <v>33</v>
      </c>
      <c r="D1625">
        <v>9</v>
      </c>
      <c r="E1625" t="s">
        <v>26</v>
      </c>
      <c r="F1625" t="s">
        <v>14</v>
      </c>
      <c r="G1625" s="3">
        <v>341</v>
      </c>
      <c r="H1625" s="3">
        <v>117.25</v>
      </c>
      <c r="I1625" s="3">
        <v>39982.25</v>
      </c>
      <c r="J1625" s="3">
        <v>-11.83</v>
      </c>
    </row>
    <row r="1626" spans="1:10" x14ac:dyDescent="0.25">
      <c r="A1626" s="2">
        <v>45917</v>
      </c>
      <c r="B1626">
        <v>2025</v>
      </c>
      <c r="C1626" t="s">
        <v>33</v>
      </c>
      <c r="D1626">
        <v>9</v>
      </c>
      <c r="E1626" t="s">
        <v>26</v>
      </c>
      <c r="F1626" t="s">
        <v>15</v>
      </c>
      <c r="G1626" s="3">
        <v>332</v>
      </c>
      <c r="H1626" s="3">
        <v>126.7</v>
      </c>
      <c r="I1626" s="3">
        <v>42064.4</v>
      </c>
      <c r="J1626" s="3">
        <v>-9.07</v>
      </c>
    </row>
    <row r="1627" spans="1:10" x14ac:dyDescent="0.25">
      <c r="A1627" s="2">
        <v>45917</v>
      </c>
      <c r="B1627">
        <v>2025</v>
      </c>
      <c r="C1627" t="s">
        <v>33</v>
      </c>
      <c r="D1627">
        <v>9</v>
      </c>
      <c r="E1627" t="s">
        <v>26</v>
      </c>
      <c r="F1627" t="s">
        <v>16</v>
      </c>
      <c r="G1627" s="3">
        <v>205</v>
      </c>
      <c r="H1627" s="3">
        <v>73.34</v>
      </c>
      <c r="I1627" s="3">
        <v>15034.7</v>
      </c>
      <c r="J1627" s="3">
        <v>-9.26</v>
      </c>
    </row>
    <row r="1628" spans="1:10" x14ac:dyDescent="0.25">
      <c r="A1628" s="2">
        <v>45917</v>
      </c>
      <c r="B1628">
        <v>2025</v>
      </c>
      <c r="C1628" t="s">
        <v>33</v>
      </c>
      <c r="D1628">
        <v>9</v>
      </c>
      <c r="E1628" t="s">
        <v>26</v>
      </c>
      <c r="F1628" t="s">
        <v>17</v>
      </c>
      <c r="G1628" s="3">
        <v>608</v>
      </c>
      <c r="H1628" s="3">
        <v>176.59</v>
      </c>
      <c r="I1628" s="3">
        <v>107366.72</v>
      </c>
      <c r="J1628" s="3">
        <v>-0.14000000000000001</v>
      </c>
    </row>
    <row r="1629" spans="1:10" x14ac:dyDescent="0.25">
      <c r="A1629" s="2">
        <v>45917</v>
      </c>
      <c r="B1629">
        <v>2025</v>
      </c>
      <c r="C1629" t="s">
        <v>33</v>
      </c>
      <c r="D1629">
        <v>9</v>
      </c>
      <c r="E1629" t="s">
        <v>26</v>
      </c>
      <c r="F1629" t="s">
        <v>18</v>
      </c>
      <c r="G1629" s="3">
        <v>470</v>
      </c>
      <c r="H1629" s="3">
        <v>34.51</v>
      </c>
      <c r="I1629" s="3">
        <v>16219.7</v>
      </c>
      <c r="J1629" s="3">
        <v>22.58</v>
      </c>
    </row>
    <row r="1630" spans="1:10" x14ac:dyDescent="0.25">
      <c r="A1630" s="2">
        <v>45917</v>
      </c>
      <c r="B1630">
        <v>2025</v>
      </c>
      <c r="C1630" t="s">
        <v>33</v>
      </c>
      <c r="D1630">
        <v>9</v>
      </c>
      <c r="E1630" t="s">
        <v>26</v>
      </c>
      <c r="F1630" t="s">
        <v>19</v>
      </c>
      <c r="G1630" s="3">
        <v>88</v>
      </c>
      <c r="H1630" s="3">
        <v>110.45</v>
      </c>
      <c r="I1630" s="3">
        <v>9719.6</v>
      </c>
      <c r="J1630" s="3">
        <v>-6.97</v>
      </c>
    </row>
    <row r="1631" spans="1:10" x14ac:dyDescent="0.25">
      <c r="A1631" s="2">
        <v>45917</v>
      </c>
      <c r="B1631">
        <v>2025</v>
      </c>
      <c r="C1631" t="s">
        <v>33</v>
      </c>
      <c r="D1631">
        <v>9</v>
      </c>
      <c r="E1631" t="s">
        <v>26</v>
      </c>
      <c r="F1631" t="s">
        <v>20</v>
      </c>
      <c r="G1631" s="3">
        <v>327</v>
      </c>
      <c r="H1631" s="3">
        <v>105.83</v>
      </c>
      <c r="I1631" s="3">
        <v>34606.410000000003</v>
      </c>
      <c r="J1631" s="3">
        <v>10.199999999999999</v>
      </c>
    </row>
    <row r="1632" spans="1:10" x14ac:dyDescent="0.25">
      <c r="A1632" s="2">
        <v>45917</v>
      </c>
      <c r="B1632">
        <v>2025</v>
      </c>
      <c r="C1632" t="s">
        <v>33</v>
      </c>
      <c r="D1632">
        <v>9</v>
      </c>
      <c r="E1632" t="s">
        <v>26</v>
      </c>
      <c r="F1632" t="s">
        <v>21</v>
      </c>
      <c r="G1632" s="3">
        <v>271</v>
      </c>
      <c r="H1632" s="3">
        <v>84.76</v>
      </c>
      <c r="I1632" s="3">
        <v>22969.96</v>
      </c>
      <c r="J1632" s="3">
        <v>-2.72</v>
      </c>
    </row>
    <row r="1633" spans="1:10" x14ac:dyDescent="0.25">
      <c r="A1633" s="2">
        <v>45917</v>
      </c>
      <c r="B1633">
        <v>2025</v>
      </c>
      <c r="C1633" t="s">
        <v>33</v>
      </c>
      <c r="D1633">
        <v>9</v>
      </c>
      <c r="E1633" t="s">
        <v>11</v>
      </c>
      <c r="F1633" t="s">
        <v>25</v>
      </c>
      <c r="G1633" s="3">
        <v>693</v>
      </c>
      <c r="H1633" s="3">
        <v>57.59</v>
      </c>
      <c r="I1633" s="3">
        <v>39909.870000000003</v>
      </c>
      <c r="J1633" s="3">
        <v>-12.66</v>
      </c>
    </row>
    <row r="1634" spans="1:10" x14ac:dyDescent="0.25">
      <c r="A1634" s="2">
        <v>45947</v>
      </c>
      <c r="B1634">
        <v>2025</v>
      </c>
      <c r="C1634" t="s">
        <v>34</v>
      </c>
      <c r="D1634">
        <v>10</v>
      </c>
      <c r="E1634" t="s">
        <v>13</v>
      </c>
      <c r="F1634" t="s">
        <v>22</v>
      </c>
      <c r="G1634" s="3">
        <v>263</v>
      </c>
      <c r="H1634" s="3">
        <v>178.33</v>
      </c>
      <c r="I1634" s="3">
        <v>46900.79</v>
      </c>
      <c r="J1634" s="3">
        <v>21.28</v>
      </c>
    </row>
    <row r="1635" spans="1:10" x14ac:dyDescent="0.25">
      <c r="A1635" s="2">
        <v>45947</v>
      </c>
      <c r="B1635">
        <v>2025</v>
      </c>
      <c r="C1635" t="s">
        <v>34</v>
      </c>
      <c r="D1635">
        <v>10</v>
      </c>
      <c r="E1635" t="s">
        <v>13</v>
      </c>
      <c r="F1635" t="s">
        <v>21</v>
      </c>
      <c r="G1635" s="3">
        <v>607</v>
      </c>
      <c r="H1635" s="3">
        <v>21.99</v>
      </c>
      <c r="I1635" s="3">
        <v>13347.93</v>
      </c>
      <c r="J1635" s="3">
        <v>14.21</v>
      </c>
    </row>
    <row r="1636" spans="1:10" x14ac:dyDescent="0.25">
      <c r="A1636" s="2">
        <v>45947</v>
      </c>
      <c r="B1636">
        <v>2025</v>
      </c>
      <c r="C1636" t="s">
        <v>34</v>
      </c>
      <c r="D1636">
        <v>10</v>
      </c>
      <c r="E1636" t="s">
        <v>13</v>
      </c>
      <c r="F1636" t="s">
        <v>20</v>
      </c>
      <c r="G1636" s="3">
        <v>589</v>
      </c>
      <c r="H1636" s="3">
        <v>141.58000000000001</v>
      </c>
      <c r="I1636" s="3">
        <v>83390.62</v>
      </c>
      <c r="J1636" s="3">
        <v>0.84</v>
      </c>
    </row>
    <row r="1637" spans="1:10" x14ac:dyDescent="0.25">
      <c r="A1637" s="2">
        <v>45947</v>
      </c>
      <c r="B1637">
        <v>2025</v>
      </c>
      <c r="C1637" t="s">
        <v>34</v>
      </c>
      <c r="D1637">
        <v>10</v>
      </c>
      <c r="E1637" t="s">
        <v>13</v>
      </c>
      <c r="F1637" t="s">
        <v>19</v>
      </c>
      <c r="G1637" s="3">
        <v>392</v>
      </c>
      <c r="H1637" s="3">
        <v>122.34</v>
      </c>
      <c r="I1637" s="3">
        <v>47957.279999999999</v>
      </c>
      <c r="J1637" s="3">
        <v>-12.63</v>
      </c>
    </row>
    <row r="1638" spans="1:10" x14ac:dyDescent="0.25">
      <c r="A1638" s="2">
        <v>45947</v>
      </c>
      <c r="B1638">
        <v>2025</v>
      </c>
      <c r="C1638" t="s">
        <v>34</v>
      </c>
      <c r="D1638">
        <v>10</v>
      </c>
      <c r="E1638" t="s">
        <v>13</v>
      </c>
      <c r="F1638" t="s">
        <v>14</v>
      </c>
      <c r="G1638" s="3">
        <v>125</v>
      </c>
      <c r="H1638" s="3">
        <v>151.56</v>
      </c>
      <c r="I1638" s="3">
        <v>18945</v>
      </c>
      <c r="J1638" s="3">
        <v>1.8</v>
      </c>
    </row>
    <row r="1639" spans="1:10" x14ac:dyDescent="0.25">
      <c r="A1639" s="2">
        <v>45947</v>
      </c>
      <c r="B1639">
        <v>2025</v>
      </c>
      <c r="C1639" t="s">
        <v>34</v>
      </c>
      <c r="D1639">
        <v>10</v>
      </c>
      <c r="E1639" t="s">
        <v>13</v>
      </c>
      <c r="F1639" t="s">
        <v>17</v>
      </c>
      <c r="G1639" s="3">
        <v>459</v>
      </c>
      <c r="H1639" s="3">
        <v>180.22</v>
      </c>
      <c r="I1639" s="3">
        <v>82720.98</v>
      </c>
      <c r="J1639" s="3">
        <v>11.09</v>
      </c>
    </row>
    <row r="1640" spans="1:10" x14ac:dyDescent="0.25">
      <c r="A1640" s="2">
        <v>45947</v>
      </c>
      <c r="B1640">
        <v>2025</v>
      </c>
      <c r="C1640" t="s">
        <v>34</v>
      </c>
      <c r="D1640">
        <v>10</v>
      </c>
      <c r="E1640" t="s">
        <v>13</v>
      </c>
      <c r="F1640" t="s">
        <v>16</v>
      </c>
      <c r="G1640" s="3">
        <v>741</v>
      </c>
      <c r="H1640" s="3">
        <v>175.96</v>
      </c>
      <c r="I1640" s="3">
        <v>130386.36</v>
      </c>
      <c r="J1640" s="3">
        <v>-12.62</v>
      </c>
    </row>
    <row r="1641" spans="1:10" x14ac:dyDescent="0.25">
      <c r="A1641" s="2">
        <v>45947</v>
      </c>
      <c r="B1641">
        <v>2025</v>
      </c>
      <c r="C1641" t="s">
        <v>34</v>
      </c>
      <c r="D1641">
        <v>10</v>
      </c>
      <c r="E1641" t="s">
        <v>13</v>
      </c>
      <c r="F1641" t="s">
        <v>15</v>
      </c>
      <c r="G1641" s="3">
        <v>748</v>
      </c>
      <c r="H1641" s="3">
        <v>86.98</v>
      </c>
      <c r="I1641" s="3">
        <v>65061.04</v>
      </c>
      <c r="J1641" s="3">
        <v>5.88</v>
      </c>
    </row>
    <row r="1642" spans="1:10" x14ac:dyDescent="0.25">
      <c r="A1642" s="2">
        <v>45947</v>
      </c>
      <c r="B1642">
        <v>2025</v>
      </c>
      <c r="C1642" t="s">
        <v>34</v>
      </c>
      <c r="D1642">
        <v>10</v>
      </c>
      <c r="E1642" t="s">
        <v>13</v>
      </c>
      <c r="F1642" t="s">
        <v>18</v>
      </c>
      <c r="G1642" s="3">
        <v>217</v>
      </c>
      <c r="H1642" s="3">
        <v>118.75</v>
      </c>
      <c r="I1642" s="3">
        <v>25768.75</v>
      </c>
      <c r="J1642" s="3">
        <v>1.1100000000000001</v>
      </c>
    </row>
    <row r="1643" spans="1:10" x14ac:dyDescent="0.25">
      <c r="A1643" s="2">
        <v>45947</v>
      </c>
      <c r="B1643">
        <v>2025</v>
      </c>
      <c r="C1643" t="s">
        <v>34</v>
      </c>
      <c r="D1643">
        <v>10</v>
      </c>
      <c r="E1643" t="s">
        <v>23</v>
      </c>
      <c r="F1643" t="s">
        <v>12</v>
      </c>
      <c r="G1643" s="3">
        <v>113</v>
      </c>
      <c r="H1643" s="3">
        <v>151.56</v>
      </c>
      <c r="I1643" s="3">
        <v>17126.28</v>
      </c>
      <c r="J1643" s="3">
        <v>13.03</v>
      </c>
    </row>
    <row r="1644" spans="1:10" x14ac:dyDescent="0.25">
      <c r="A1644" s="2">
        <v>45947</v>
      </c>
      <c r="B1644">
        <v>2025</v>
      </c>
      <c r="C1644" t="s">
        <v>34</v>
      </c>
      <c r="D1644">
        <v>10</v>
      </c>
      <c r="E1644" t="s">
        <v>23</v>
      </c>
      <c r="F1644" t="s">
        <v>25</v>
      </c>
      <c r="G1644" s="3">
        <v>380</v>
      </c>
      <c r="H1644" s="3">
        <v>71.41</v>
      </c>
      <c r="I1644" s="3">
        <v>27135.8</v>
      </c>
      <c r="J1644" s="3">
        <v>14.38</v>
      </c>
    </row>
    <row r="1645" spans="1:10" x14ac:dyDescent="0.25">
      <c r="A1645" s="2">
        <v>45947</v>
      </c>
      <c r="B1645">
        <v>2025</v>
      </c>
      <c r="C1645" t="s">
        <v>34</v>
      </c>
      <c r="D1645">
        <v>10</v>
      </c>
      <c r="E1645" t="s">
        <v>23</v>
      </c>
      <c r="F1645" t="s">
        <v>14</v>
      </c>
      <c r="G1645" s="3">
        <v>512</v>
      </c>
      <c r="H1645" s="3">
        <v>49.06</v>
      </c>
      <c r="I1645" s="3">
        <v>25118.720000000001</v>
      </c>
      <c r="J1645" s="3">
        <v>3.87</v>
      </c>
    </row>
    <row r="1646" spans="1:10" x14ac:dyDescent="0.25">
      <c r="A1646" s="2">
        <v>45947</v>
      </c>
      <c r="B1646">
        <v>2025</v>
      </c>
      <c r="C1646" t="s">
        <v>34</v>
      </c>
      <c r="D1646">
        <v>10</v>
      </c>
      <c r="E1646" t="s">
        <v>23</v>
      </c>
      <c r="F1646" t="s">
        <v>15</v>
      </c>
      <c r="G1646" s="3">
        <v>515</v>
      </c>
      <c r="H1646" s="3">
        <v>32.450000000000003</v>
      </c>
      <c r="I1646" s="3">
        <v>16711.75</v>
      </c>
      <c r="J1646" s="3">
        <v>18.100000000000001</v>
      </c>
    </row>
    <row r="1647" spans="1:10" x14ac:dyDescent="0.25">
      <c r="A1647" s="2">
        <v>45947</v>
      </c>
      <c r="B1647">
        <v>2025</v>
      </c>
      <c r="C1647" t="s">
        <v>34</v>
      </c>
      <c r="D1647">
        <v>10</v>
      </c>
      <c r="E1647" t="s">
        <v>23</v>
      </c>
      <c r="F1647" t="s">
        <v>16</v>
      </c>
      <c r="G1647" s="3">
        <v>484</v>
      </c>
      <c r="H1647" s="3">
        <v>83.87</v>
      </c>
      <c r="I1647" s="3">
        <v>40593.08</v>
      </c>
      <c r="J1647" s="3">
        <v>16.21</v>
      </c>
    </row>
    <row r="1648" spans="1:10" x14ac:dyDescent="0.25">
      <c r="A1648" s="2">
        <v>45947</v>
      </c>
      <c r="B1648">
        <v>2025</v>
      </c>
      <c r="C1648" t="s">
        <v>34</v>
      </c>
      <c r="D1648">
        <v>10</v>
      </c>
      <c r="E1648" t="s">
        <v>23</v>
      </c>
      <c r="F1648" t="s">
        <v>17</v>
      </c>
      <c r="G1648" s="3">
        <v>389</v>
      </c>
      <c r="H1648" s="3">
        <v>145.88</v>
      </c>
      <c r="I1648" s="3">
        <v>56747.32</v>
      </c>
      <c r="J1648" s="3">
        <v>-1.78</v>
      </c>
    </row>
    <row r="1649" spans="1:10" x14ac:dyDescent="0.25">
      <c r="A1649" s="2">
        <v>45947</v>
      </c>
      <c r="B1649">
        <v>2025</v>
      </c>
      <c r="C1649" t="s">
        <v>34</v>
      </c>
      <c r="D1649">
        <v>10</v>
      </c>
      <c r="E1649" t="s">
        <v>23</v>
      </c>
      <c r="F1649" t="s">
        <v>18</v>
      </c>
      <c r="G1649" s="3">
        <v>294</v>
      </c>
      <c r="H1649" s="3">
        <v>122.13</v>
      </c>
      <c r="I1649" s="3">
        <v>35906.22</v>
      </c>
      <c r="J1649" s="3">
        <v>16.850000000000001</v>
      </c>
    </row>
    <row r="1650" spans="1:10" x14ac:dyDescent="0.25">
      <c r="A1650" s="2">
        <v>45947</v>
      </c>
      <c r="B1650">
        <v>2025</v>
      </c>
      <c r="C1650" t="s">
        <v>34</v>
      </c>
      <c r="D1650">
        <v>10</v>
      </c>
      <c r="E1650" t="s">
        <v>23</v>
      </c>
      <c r="F1650" t="s">
        <v>19</v>
      </c>
      <c r="G1650" s="3">
        <v>139</v>
      </c>
      <c r="H1650" s="3">
        <v>112.37</v>
      </c>
      <c r="I1650" s="3">
        <v>15619.43</v>
      </c>
      <c r="J1650" s="3">
        <v>-9.7799999999999994</v>
      </c>
    </row>
    <row r="1651" spans="1:10" x14ac:dyDescent="0.25">
      <c r="A1651" s="2">
        <v>45947</v>
      </c>
      <c r="B1651">
        <v>2025</v>
      </c>
      <c r="C1651" t="s">
        <v>34</v>
      </c>
      <c r="D1651">
        <v>10</v>
      </c>
      <c r="E1651" t="s">
        <v>23</v>
      </c>
      <c r="F1651" t="s">
        <v>20</v>
      </c>
      <c r="G1651" s="3">
        <v>226</v>
      </c>
      <c r="H1651" s="3">
        <v>43.97</v>
      </c>
      <c r="I1651" s="3">
        <v>9937.2199999999993</v>
      </c>
      <c r="J1651" s="3">
        <v>-4.55</v>
      </c>
    </row>
    <row r="1652" spans="1:10" x14ac:dyDescent="0.25">
      <c r="A1652" s="2">
        <v>45947</v>
      </c>
      <c r="B1652">
        <v>2025</v>
      </c>
      <c r="C1652" t="s">
        <v>34</v>
      </c>
      <c r="D1652">
        <v>10</v>
      </c>
      <c r="E1652" t="s">
        <v>23</v>
      </c>
      <c r="F1652" t="s">
        <v>21</v>
      </c>
      <c r="G1652" s="3">
        <v>678</v>
      </c>
      <c r="H1652" s="3">
        <v>30.97</v>
      </c>
      <c r="I1652" s="3">
        <v>20997.66</v>
      </c>
      <c r="J1652" s="3">
        <v>12.76</v>
      </c>
    </row>
    <row r="1653" spans="1:10" x14ac:dyDescent="0.25">
      <c r="A1653" s="2">
        <v>45947</v>
      </c>
      <c r="B1653">
        <v>2025</v>
      </c>
      <c r="C1653" t="s">
        <v>34</v>
      </c>
      <c r="D1653">
        <v>10</v>
      </c>
      <c r="E1653" t="s">
        <v>23</v>
      </c>
      <c r="F1653" t="s">
        <v>22</v>
      </c>
      <c r="G1653" s="3">
        <v>586</v>
      </c>
      <c r="H1653" s="3">
        <v>77.430000000000007</v>
      </c>
      <c r="I1653" s="3">
        <v>45373.98</v>
      </c>
      <c r="J1653" s="3">
        <v>1.62</v>
      </c>
    </row>
    <row r="1654" spans="1:10" x14ac:dyDescent="0.25">
      <c r="A1654" s="2">
        <v>45947</v>
      </c>
      <c r="B1654">
        <v>2025</v>
      </c>
      <c r="C1654" t="s">
        <v>34</v>
      </c>
      <c r="D1654">
        <v>10</v>
      </c>
      <c r="E1654" t="s">
        <v>13</v>
      </c>
      <c r="F1654" t="s">
        <v>24</v>
      </c>
      <c r="G1654" s="3">
        <v>775</v>
      </c>
      <c r="H1654" s="3">
        <v>52.56</v>
      </c>
      <c r="I1654" s="3">
        <v>40734</v>
      </c>
      <c r="J1654" s="3">
        <v>16.97</v>
      </c>
    </row>
    <row r="1655" spans="1:10" x14ac:dyDescent="0.25">
      <c r="A1655" s="2">
        <v>45947</v>
      </c>
      <c r="B1655">
        <v>2025</v>
      </c>
      <c r="C1655" t="s">
        <v>34</v>
      </c>
      <c r="D1655">
        <v>10</v>
      </c>
      <c r="E1655" t="s">
        <v>23</v>
      </c>
      <c r="F1655" t="s">
        <v>24</v>
      </c>
      <c r="G1655" s="3">
        <v>401</v>
      </c>
      <c r="H1655" s="3">
        <v>84.41</v>
      </c>
      <c r="I1655" s="3">
        <v>33848.410000000003</v>
      </c>
      <c r="J1655" s="3">
        <v>8.75</v>
      </c>
    </row>
    <row r="1656" spans="1:10" x14ac:dyDescent="0.25">
      <c r="A1656" s="2">
        <v>45947</v>
      </c>
      <c r="B1656">
        <v>2025</v>
      </c>
      <c r="C1656" t="s">
        <v>34</v>
      </c>
      <c r="D1656">
        <v>10</v>
      </c>
      <c r="E1656" t="s">
        <v>13</v>
      </c>
      <c r="F1656" t="s">
        <v>12</v>
      </c>
      <c r="G1656" s="3">
        <v>777</v>
      </c>
      <c r="H1656" s="3">
        <v>91.88</v>
      </c>
      <c r="I1656" s="3">
        <v>71390.759999999995</v>
      </c>
      <c r="J1656" s="3">
        <v>1.39</v>
      </c>
    </row>
    <row r="1657" spans="1:10" x14ac:dyDescent="0.25">
      <c r="A1657" s="2">
        <v>45947</v>
      </c>
      <c r="B1657">
        <v>2025</v>
      </c>
      <c r="C1657" t="s">
        <v>34</v>
      </c>
      <c r="D1657">
        <v>10</v>
      </c>
      <c r="E1657" t="s">
        <v>13</v>
      </c>
      <c r="F1657" t="s">
        <v>25</v>
      </c>
      <c r="G1657" s="3">
        <v>538</v>
      </c>
      <c r="H1657" s="3">
        <v>57.5</v>
      </c>
      <c r="I1657" s="3">
        <v>30935</v>
      </c>
      <c r="J1657" s="3">
        <v>-0.78</v>
      </c>
    </row>
    <row r="1658" spans="1:10" x14ac:dyDescent="0.25">
      <c r="A1658" s="2">
        <v>45947</v>
      </c>
      <c r="B1658">
        <v>2025</v>
      </c>
      <c r="C1658" t="s">
        <v>34</v>
      </c>
      <c r="D1658">
        <v>10</v>
      </c>
      <c r="E1658" t="s">
        <v>26</v>
      </c>
      <c r="F1658" t="s">
        <v>22</v>
      </c>
      <c r="G1658" s="3">
        <v>196</v>
      </c>
      <c r="H1658" s="3">
        <v>198.65</v>
      </c>
      <c r="I1658" s="3">
        <v>38935.4</v>
      </c>
      <c r="J1658" s="3">
        <v>-5.37</v>
      </c>
    </row>
    <row r="1659" spans="1:10" x14ac:dyDescent="0.25">
      <c r="A1659" s="2">
        <v>45947</v>
      </c>
      <c r="B1659">
        <v>2025</v>
      </c>
      <c r="C1659" t="s">
        <v>34</v>
      </c>
      <c r="D1659">
        <v>10</v>
      </c>
      <c r="E1659" t="s">
        <v>11</v>
      </c>
      <c r="F1659" t="s">
        <v>12</v>
      </c>
      <c r="G1659" s="3">
        <v>171</v>
      </c>
      <c r="H1659" s="3">
        <v>46.16</v>
      </c>
      <c r="I1659" s="3">
        <v>7893.36</v>
      </c>
      <c r="J1659" s="3">
        <v>5.23</v>
      </c>
    </row>
    <row r="1660" spans="1:10" x14ac:dyDescent="0.25">
      <c r="A1660" s="2">
        <v>45947</v>
      </c>
      <c r="B1660">
        <v>2025</v>
      </c>
      <c r="C1660" t="s">
        <v>34</v>
      </c>
      <c r="D1660">
        <v>10</v>
      </c>
      <c r="E1660" t="s">
        <v>11</v>
      </c>
      <c r="F1660" t="s">
        <v>24</v>
      </c>
      <c r="G1660" s="3">
        <v>646</v>
      </c>
      <c r="H1660" s="3">
        <v>24.65</v>
      </c>
      <c r="I1660" s="3">
        <v>15923.9</v>
      </c>
      <c r="J1660" s="3">
        <v>7.13</v>
      </c>
    </row>
    <row r="1661" spans="1:10" x14ac:dyDescent="0.25">
      <c r="A1661" s="2">
        <v>45947</v>
      </c>
      <c r="B1661">
        <v>2025</v>
      </c>
      <c r="C1661" t="s">
        <v>34</v>
      </c>
      <c r="D1661">
        <v>10</v>
      </c>
      <c r="E1661" t="s">
        <v>11</v>
      </c>
      <c r="F1661" t="s">
        <v>14</v>
      </c>
      <c r="G1661" s="3">
        <v>65</v>
      </c>
      <c r="H1661" s="3">
        <v>121.88</v>
      </c>
      <c r="I1661" s="3">
        <v>7922.2</v>
      </c>
      <c r="J1661" s="3">
        <v>20.12</v>
      </c>
    </row>
    <row r="1662" spans="1:10" x14ac:dyDescent="0.25">
      <c r="A1662" s="2">
        <v>45947</v>
      </c>
      <c r="B1662">
        <v>2025</v>
      </c>
      <c r="C1662" t="s">
        <v>34</v>
      </c>
      <c r="D1662">
        <v>10</v>
      </c>
      <c r="E1662" t="s">
        <v>11</v>
      </c>
      <c r="F1662" t="s">
        <v>15</v>
      </c>
      <c r="G1662" s="3">
        <v>383</v>
      </c>
      <c r="H1662" s="3">
        <v>192.76</v>
      </c>
      <c r="I1662" s="3">
        <v>73827.08</v>
      </c>
      <c r="J1662" s="3">
        <v>-13.05</v>
      </c>
    </row>
    <row r="1663" spans="1:10" x14ac:dyDescent="0.25">
      <c r="A1663" s="2">
        <v>45947</v>
      </c>
      <c r="B1663">
        <v>2025</v>
      </c>
      <c r="C1663" t="s">
        <v>34</v>
      </c>
      <c r="D1663">
        <v>10</v>
      </c>
      <c r="E1663" t="s">
        <v>11</v>
      </c>
      <c r="F1663" t="s">
        <v>16</v>
      </c>
      <c r="G1663" s="3">
        <v>64</v>
      </c>
      <c r="H1663" s="3">
        <v>160.01</v>
      </c>
      <c r="I1663" s="3">
        <v>10240.64</v>
      </c>
      <c r="J1663" s="3">
        <v>17.89</v>
      </c>
    </row>
    <row r="1664" spans="1:10" x14ac:dyDescent="0.25">
      <c r="A1664" s="2">
        <v>45947</v>
      </c>
      <c r="B1664">
        <v>2025</v>
      </c>
      <c r="C1664" t="s">
        <v>34</v>
      </c>
      <c r="D1664">
        <v>10</v>
      </c>
      <c r="E1664" t="s">
        <v>11</v>
      </c>
      <c r="F1664" t="s">
        <v>17</v>
      </c>
      <c r="G1664" s="3">
        <v>457</v>
      </c>
      <c r="H1664" s="3">
        <v>114.48</v>
      </c>
      <c r="I1664" s="3">
        <v>52317.36</v>
      </c>
      <c r="J1664" s="3">
        <v>3.05</v>
      </c>
    </row>
    <row r="1665" spans="1:10" x14ac:dyDescent="0.25">
      <c r="A1665" s="2">
        <v>45947</v>
      </c>
      <c r="B1665">
        <v>2025</v>
      </c>
      <c r="C1665" t="s">
        <v>34</v>
      </c>
      <c r="D1665">
        <v>10</v>
      </c>
      <c r="E1665" t="s">
        <v>26</v>
      </c>
      <c r="F1665" t="s">
        <v>25</v>
      </c>
      <c r="G1665" s="3">
        <v>799</v>
      </c>
      <c r="H1665" s="3">
        <v>193.09</v>
      </c>
      <c r="I1665" s="3">
        <v>154278.91</v>
      </c>
      <c r="J1665" s="3">
        <v>14.21</v>
      </c>
    </row>
    <row r="1666" spans="1:10" x14ac:dyDescent="0.25">
      <c r="A1666" s="2">
        <v>45947</v>
      </c>
      <c r="B1666">
        <v>2025</v>
      </c>
      <c r="C1666" t="s">
        <v>34</v>
      </c>
      <c r="D1666">
        <v>10</v>
      </c>
      <c r="E1666" t="s">
        <v>11</v>
      </c>
      <c r="F1666" t="s">
        <v>19</v>
      </c>
      <c r="G1666" s="3">
        <v>418</v>
      </c>
      <c r="H1666" s="3">
        <v>33.89</v>
      </c>
      <c r="I1666" s="3">
        <v>14166.02</v>
      </c>
      <c r="J1666" s="3">
        <v>-8.1999999999999993</v>
      </c>
    </row>
    <row r="1667" spans="1:10" x14ac:dyDescent="0.25">
      <c r="A1667" s="2">
        <v>45947</v>
      </c>
      <c r="B1667">
        <v>2025</v>
      </c>
      <c r="C1667" t="s">
        <v>34</v>
      </c>
      <c r="D1667">
        <v>10</v>
      </c>
      <c r="E1667" t="s">
        <v>11</v>
      </c>
      <c r="F1667" t="s">
        <v>20</v>
      </c>
      <c r="G1667" s="3">
        <v>514</v>
      </c>
      <c r="H1667" s="3">
        <v>163.37</v>
      </c>
      <c r="I1667" s="3">
        <v>83972.18</v>
      </c>
      <c r="J1667" s="3">
        <v>15.27</v>
      </c>
    </row>
    <row r="1668" spans="1:10" x14ac:dyDescent="0.25">
      <c r="A1668" s="2">
        <v>45947</v>
      </c>
      <c r="B1668">
        <v>2025</v>
      </c>
      <c r="C1668" t="s">
        <v>34</v>
      </c>
      <c r="D1668">
        <v>10</v>
      </c>
      <c r="E1668" t="s">
        <v>11</v>
      </c>
      <c r="F1668" t="s">
        <v>21</v>
      </c>
      <c r="G1668" s="3">
        <v>469</v>
      </c>
      <c r="H1668" s="3">
        <v>84.47</v>
      </c>
      <c r="I1668" s="3">
        <v>39616.43</v>
      </c>
      <c r="J1668" s="3">
        <v>24.58</v>
      </c>
    </row>
    <row r="1669" spans="1:10" x14ac:dyDescent="0.25">
      <c r="A1669" s="2">
        <v>45947</v>
      </c>
      <c r="B1669">
        <v>2025</v>
      </c>
      <c r="C1669" t="s">
        <v>34</v>
      </c>
      <c r="D1669">
        <v>10</v>
      </c>
      <c r="E1669" t="s">
        <v>11</v>
      </c>
      <c r="F1669" t="s">
        <v>22</v>
      </c>
      <c r="G1669" s="3">
        <v>476</v>
      </c>
      <c r="H1669" s="3">
        <v>28.46</v>
      </c>
      <c r="I1669" s="3">
        <v>13546.96</v>
      </c>
      <c r="J1669" s="3">
        <v>22.12</v>
      </c>
    </row>
    <row r="1670" spans="1:10" x14ac:dyDescent="0.25">
      <c r="A1670" s="2">
        <v>45947</v>
      </c>
      <c r="B1670">
        <v>2025</v>
      </c>
      <c r="C1670" t="s">
        <v>34</v>
      </c>
      <c r="D1670">
        <v>10</v>
      </c>
      <c r="E1670" t="s">
        <v>11</v>
      </c>
      <c r="F1670" t="s">
        <v>18</v>
      </c>
      <c r="G1670" s="3">
        <v>315</v>
      </c>
      <c r="H1670" s="3">
        <v>190.27</v>
      </c>
      <c r="I1670" s="3">
        <v>59935.05</v>
      </c>
      <c r="J1670" s="3">
        <v>18.690000000000001</v>
      </c>
    </row>
    <row r="1671" spans="1:10" x14ac:dyDescent="0.25">
      <c r="A1671" s="2">
        <v>45947</v>
      </c>
      <c r="B1671">
        <v>2025</v>
      </c>
      <c r="C1671" t="s">
        <v>34</v>
      </c>
      <c r="D1671">
        <v>10</v>
      </c>
      <c r="E1671" t="s">
        <v>26</v>
      </c>
      <c r="F1671" t="s">
        <v>12</v>
      </c>
      <c r="G1671" s="3">
        <v>493</v>
      </c>
      <c r="H1671" s="3">
        <v>50.58</v>
      </c>
      <c r="I1671" s="3">
        <v>24935.94</v>
      </c>
      <c r="J1671" s="3">
        <v>-12.78</v>
      </c>
    </row>
    <row r="1672" spans="1:10" x14ac:dyDescent="0.25">
      <c r="A1672" s="2">
        <v>45947</v>
      </c>
      <c r="B1672">
        <v>2025</v>
      </c>
      <c r="C1672" t="s">
        <v>34</v>
      </c>
      <c r="D1672">
        <v>10</v>
      </c>
      <c r="E1672" t="s">
        <v>26</v>
      </c>
      <c r="F1672" t="s">
        <v>24</v>
      </c>
      <c r="G1672" s="3">
        <v>105</v>
      </c>
      <c r="H1672" s="3">
        <v>93.94</v>
      </c>
      <c r="I1672" s="3">
        <v>9863.7000000000007</v>
      </c>
      <c r="J1672" s="3">
        <v>4.59</v>
      </c>
    </row>
    <row r="1673" spans="1:10" x14ac:dyDescent="0.25">
      <c r="A1673" s="2">
        <v>45947</v>
      </c>
      <c r="B1673">
        <v>2025</v>
      </c>
      <c r="C1673" t="s">
        <v>34</v>
      </c>
      <c r="D1673">
        <v>10</v>
      </c>
      <c r="E1673" t="s">
        <v>26</v>
      </c>
      <c r="F1673" t="s">
        <v>14</v>
      </c>
      <c r="G1673" s="3">
        <v>281</v>
      </c>
      <c r="H1673" s="3">
        <v>137.54</v>
      </c>
      <c r="I1673" s="3">
        <v>38648.74</v>
      </c>
      <c r="J1673" s="3">
        <v>8.18</v>
      </c>
    </row>
    <row r="1674" spans="1:10" x14ac:dyDescent="0.25">
      <c r="A1674" s="2">
        <v>45947</v>
      </c>
      <c r="B1674">
        <v>2025</v>
      </c>
      <c r="C1674" t="s">
        <v>34</v>
      </c>
      <c r="D1674">
        <v>10</v>
      </c>
      <c r="E1674" t="s">
        <v>26</v>
      </c>
      <c r="F1674" t="s">
        <v>15</v>
      </c>
      <c r="G1674" s="3">
        <v>117</v>
      </c>
      <c r="H1674" s="3">
        <v>51.87</v>
      </c>
      <c r="I1674" s="3">
        <v>6068.79</v>
      </c>
      <c r="J1674" s="3">
        <v>-11.06</v>
      </c>
    </row>
    <row r="1675" spans="1:10" x14ac:dyDescent="0.25">
      <c r="A1675" s="2">
        <v>45947</v>
      </c>
      <c r="B1675">
        <v>2025</v>
      </c>
      <c r="C1675" t="s">
        <v>34</v>
      </c>
      <c r="D1675">
        <v>10</v>
      </c>
      <c r="E1675" t="s">
        <v>26</v>
      </c>
      <c r="F1675" t="s">
        <v>16</v>
      </c>
      <c r="G1675" s="3">
        <v>372</v>
      </c>
      <c r="H1675" s="3">
        <v>194.2</v>
      </c>
      <c r="I1675" s="3">
        <v>72242.399999999994</v>
      </c>
      <c r="J1675" s="3">
        <v>6.99</v>
      </c>
    </row>
    <row r="1676" spans="1:10" x14ac:dyDescent="0.25">
      <c r="A1676" s="2">
        <v>45947</v>
      </c>
      <c r="B1676">
        <v>2025</v>
      </c>
      <c r="C1676" t="s">
        <v>34</v>
      </c>
      <c r="D1676">
        <v>10</v>
      </c>
      <c r="E1676" t="s">
        <v>26</v>
      </c>
      <c r="F1676" t="s">
        <v>17</v>
      </c>
      <c r="G1676" s="3">
        <v>481</v>
      </c>
      <c r="H1676" s="3">
        <v>40.659999999999997</v>
      </c>
      <c r="I1676" s="3">
        <v>19557.46</v>
      </c>
      <c r="J1676" s="3">
        <v>4.62</v>
      </c>
    </row>
    <row r="1677" spans="1:10" x14ac:dyDescent="0.25">
      <c r="A1677" s="2">
        <v>45947</v>
      </c>
      <c r="B1677">
        <v>2025</v>
      </c>
      <c r="C1677" t="s">
        <v>34</v>
      </c>
      <c r="D1677">
        <v>10</v>
      </c>
      <c r="E1677" t="s">
        <v>26</v>
      </c>
      <c r="F1677" t="s">
        <v>18</v>
      </c>
      <c r="G1677" s="3">
        <v>758</v>
      </c>
      <c r="H1677" s="3">
        <v>37.450000000000003</v>
      </c>
      <c r="I1677" s="3">
        <v>28387.1</v>
      </c>
      <c r="J1677" s="3">
        <v>-7.84</v>
      </c>
    </row>
    <row r="1678" spans="1:10" x14ac:dyDescent="0.25">
      <c r="A1678" s="2">
        <v>45947</v>
      </c>
      <c r="B1678">
        <v>2025</v>
      </c>
      <c r="C1678" t="s">
        <v>34</v>
      </c>
      <c r="D1678">
        <v>10</v>
      </c>
      <c r="E1678" t="s">
        <v>26</v>
      </c>
      <c r="F1678" t="s">
        <v>19</v>
      </c>
      <c r="G1678" s="3">
        <v>416</v>
      </c>
      <c r="H1678" s="3">
        <v>57.4</v>
      </c>
      <c r="I1678" s="3">
        <v>23878.400000000001</v>
      </c>
      <c r="J1678" s="3">
        <v>8.51</v>
      </c>
    </row>
    <row r="1679" spans="1:10" x14ac:dyDescent="0.25">
      <c r="A1679" s="2">
        <v>45947</v>
      </c>
      <c r="B1679">
        <v>2025</v>
      </c>
      <c r="C1679" t="s">
        <v>34</v>
      </c>
      <c r="D1679">
        <v>10</v>
      </c>
      <c r="E1679" t="s">
        <v>26</v>
      </c>
      <c r="F1679" t="s">
        <v>20</v>
      </c>
      <c r="G1679" s="3">
        <v>419</v>
      </c>
      <c r="H1679" s="3">
        <v>79.760000000000005</v>
      </c>
      <c r="I1679" s="3">
        <v>33419.440000000002</v>
      </c>
      <c r="J1679" s="3">
        <v>16.27</v>
      </c>
    </row>
    <row r="1680" spans="1:10" x14ac:dyDescent="0.25">
      <c r="A1680" s="2">
        <v>45947</v>
      </c>
      <c r="B1680">
        <v>2025</v>
      </c>
      <c r="C1680" t="s">
        <v>34</v>
      </c>
      <c r="D1680">
        <v>10</v>
      </c>
      <c r="E1680" t="s">
        <v>26</v>
      </c>
      <c r="F1680" t="s">
        <v>21</v>
      </c>
      <c r="G1680" s="3">
        <v>163</v>
      </c>
      <c r="H1680" s="3">
        <v>132.99</v>
      </c>
      <c r="I1680" s="3">
        <v>21677.37</v>
      </c>
      <c r="J1680" s="3">
        <v>10.9</v>
      </c>
    </row>
    <row r="1681" spans="1:10" x14ac:dyDescent="0.25">
      <c r="A1681" s="2">
        <v>45947</v>
      </c>
      <c r="B1681">
        <v>2025</v>
      </c>
      <c r="C1681" t="s">
        <v>34</v>
      </c>
      <c r="D1681">
        <v>10</v>
      </c>
      <c r="E1681" t="s">
        <v>11</v>
      </c>
      <c r="F1681" t="s">
        <v>25</v>
      </c>
      <c r="G1681" s="3">
        <v>604</v>
      </c>
      <c r="H1681" s="3">
        <v>119.85</v>
      </c>
      <c r="I1681" s="3">
        <v>72389.399999999994</v>
      </c>
      <c r="J1681" s="3">
        <v>-11.93</v>
      </c>
    </row>
    <row r="1682" spans="1:10" x14ac:dyDescent="0.25">
      <c r="A1682" s="2">
        <v>45977</v>
      </c>
      <c r="B1682">
        <v>2025</v>
      </c>
      <c r="C1682" t="s">
        <v>35</v>
      </c>
      <c r="D1682">
        <v>11</v>
      </c>
      <c r="E1682" t="s">
        <v>13</v>
      </c>
      <c r="F1682" t="s">
        <v>21</v>
      </c>
      <c r="G1682" s="3">
        <v>747</v>
      </c>
      <c r="H1682" s="3">
        <v>46.5</v>
      </c>
      <c r="I1682" s="3">
        <v>34735.5</v>
      </c>
      <c r="J1682" s="3">
        <v>-6.74</v>
      </c>
    </row>
    <row r="1683" spans="1:10" x14ac:dyDescent="0.25">
      <c r="A1683" s="2">
        <v>45977</v>
      </c>
      <c r="B1683">
        <v>2025</v>
      </c>
      <c r="C1683" t="s">
        <v>35</v>
      </c>
      <c r="D1683">
        <v>11</v>
      </c>
      <c r="E1683" t="s">
        <v>13</v>
      </c>
      <c r="F1683" t="s">
        <v>20</v>
      </c>
      <c r="G1683" s="3">
        <v>781</v>
      </c>
      <c r="H1683" s="3">
        <v>57.23</v>
      </c>
      <c r="I1683" s="3">
        <v>44696.63</v>
      </c>
      <c r="J1683" s="3">
        <v>5.18</v>
      </c>
    </row>
    <row r="1684" spans="1:10" x14ac:dyDescent="0.25">
      <c r="A1684" s="2">
        <v>45977</v>
      </c>
      <c r="B1684">
        <v>2025</v>
      </c>
      <c r="C1684" t="s">
        <v>35</v>
      </c>
      <c r="D1684">
        <v>11</v>
      </c>
      <c r="E1684" t="s">
        <v>13</v>
      </c>
      <c r="F1684" t="s">
        <v>19</v>
      </c>
      <c r="G1684" s="3">
        <v>542</v>
      </c>
      <c r="H1684" s="3">
        <v>140.91</v>
      </c>
      <c r="I1684" s="3">
        <v>76373.22</v>
      </c>
      <c r="J1684" s="3">
        <v>14.17</v>
      </c>
    </row>
    <row r="1685" spans="1:10" x14ac:dyDescent="0.25">
      <c r="A1685" s="2">
        <v>45977</v>
      </c>
      <c r="B1685">
        <v>2025</v>
      </c>
      <c r="C1685" t="s">
        <v>35</v>
      </c>
      <c r="D1685">
        <v>11</v>
      </c>
      <c r="E1685" t="s">
        <v>13</v>
      </c>
      <c r="F1685" t="s">
        <v>18</v>
      </c>
      <c r="G1685" s="3">
        <v>483</v>
      </c>
      <c r="H1685" s="3">
        <v>79.14</v>
      </c>
      <c r="I1685" s="3">
        <v>38224.620000000003</v>
      </c>
      <c r="J1685" s="3">
        <v>-12.82</v>
      </c>
    </row>
    <row r="1686" spans="1:10" x14ac:dyDescent="0.25">
      <c r="A1686" s="2">
        <v>45977</v>
      </c>
      <c r="B1686">
        <v>2025</v>
      </c>
      <c r="C1686" t="s">
        <v>35</v>
      </c>
      <c r="D1686">
        <v>11</v>
      </c>
      <c r="E1686" t="s">
        <v>13</v>
      </c>
      <c r="F1686" t="s">
        <v>24</v>
      </c>
      <c r="G1686" s="3">
        <v>557</v>
      </c>
      <c r="H1686" s="3">
        <v>156.44999999999999</v>
      </c>
      <c r="I1686" s="3">
        <v>87142.65</v>
      </c>
      <c r="J1686" s="3">
        <v>15.4</v>
      </c>
    </row>
    <row r="1687" spans="1:10" x14ac:dyDescent="0.25">
      <c r="A1687" s="2">
        <v>45977</v>
      </c>
      <c r="B1687">
        <v>2025</v>
      </c>
      <c r="C1687" t="s">
        <v>35</v>
      </c>
      <c r="D1687">
        <v>11</v>
      </c>
      <c r="E1687" t="s">
        <v>13</v>
      </c>
      <c r="F1687" t="s">
        <v>16</v>
      </c>
      <c r="G1687" s="3">
        <v>200</v>
      </c>
      <c r="H1687" s="3">
        <v>89.47</v>
      </c>
      <c r="I1687" s="3">
        <v>17894</v>
      </c>
      <c r="J1687" s="3">
        <v>-0.04</v>
      </c>
    </row>
    <row r="1688" spans="1:10" x14ac:dyDescent="0.25">
      <c r="A1688" s="2">
        <v>45977</v>
      </c>
      <c r="B1688">
        <v>2025</v>
      </c>
      <c r="C1688" t="s">
        <v>35</v>
      </c>
      <c r="D1688">
        <v>11</v>
      </c>
      <c r="E1688" t="s">
        <v>13</v>
      </c>
      <c r="F1688" t="s">
        <v>15</v>
      </c>
      <c r="G1688" s="3">
        <v>664</v>
      </c>
      <c r="H1688" s="3">
        <v>195.78</v>
      </c>
      <c r="I1688" s="3">
        <v>129997.92</v>
      </c>
      <c r="J1688" s="3">
        <v>10.82</v>
      </c>
    </row>
    <row r="1689" spans="1:10" x14ac:dyDescent="0.25">
      <c r="A1689" s="2">
        <v>45977</v>
      </c>
      <c r="B1689">
        <v>2025</v>
      </c>
      <c r="C1689" t="s">
        <v>35</v>
      </c>
      <c r="D1689">
        <v>11</v>
      </c>
      <c r="E1689" t="s">
        <v>13</v>
      </c>
      <c r="F1689" t="s">
        <v>14</v>
      </c>
      <c r="G1689" s="3">
        <v>179</v>
      </c>
      <c r="H1689" s="3">
        <v>142.49</v>
      </c>
      <c r="I1689" s="3">
        <v>25505.71</v>
      </c>
      <c r="J1689" s="3">
        <v>22.27</v>
      </c>
    </row>
    <row r="1690" spans="1:10" x14ac:dyDescent="0.25">
      <c r="A1690" s="2">
        <v>45977</v>
      </c>
      <c r="B1690">
        <v>2025</v>
      </c>
      <c r="C1690" t="s">
        <v>35</v>
      </c>
      <c r="D1690">
        <v>11</v>
      </c>
      <c r="E1690" t="s">
        <v>13</v>
      </c>
      <c r="F1690" t="s">
        <v>17</v>
      </c>
      <c r="G1690" s="3">
        <v>246</v>
      </c>
      <c r="H1690" s="3">
        <v>157.85</v>
      </c>
      <c r="I1690" s="3">
        <v>38831.1</v>
      </c>
      <c r="J1690" s="3">
        <v>12.67</v>
      </c>
    </row>
    <row r="1691" spans="1:10" x14ac:dyDescent="0.25">
      <c r="A1691" s="2">
        <v>45977</v>
      </c>
      <c r="B1691">
        <v>2025</v>
      </c>
      <c r="C1691" t="s">
        <v>35</v>
      </c>
      <c r="D1691">
        <v>11</v>
      </c>
      <c r="E1691" t="s">
        <v>13</v>
      </c>
      <c r="F1691" t="s">
        <v>22</v>
      </c>
      <c r="G1691" s="3">
        <v>241</v>
      </c>
      <c r="H1691" s="3">
        <v>134.49</v>
      </c>
      <c r="I1691" s="3">
        <v>32412.09</v>
      </c>
      <c r="J1691" s="3">
        <v>0.93</v>
      </c>
    </row>
    <row r="1692" spans="1:10" x14ac:dyDescent="0.25">
      <c r="A1692" s="2">
        <v>45977</v>
      </c>
      <c r="B1692">
        <v>2025</v>
      </c>
      <c r="C1692" t="s">
        <v>35</v>
      </c>
      <c r="D1692">
        <v>11</v>
      </c>
      <c r="E1692" t="s">
        <v>23</v>
      </c>
      <c r="F1692" t="s">
        <v>21</v>
      </c>
      <c r="G1692" s="3">
        <v>334</v>
      </c>
      <c r="H1692" s="3">
        <v>79.069999999999993</v>
      </c>
      <c r="I1692" s="3">
        <v>26409.38</v>
      </c>
      <c r="J1692" s="3">
        <v>-12.85</v>
      </c>
    </row>
    <row r="1693" spans="1:10" x14ac:dyDescent="0.25">
      <c r="A1693" s="2">
        <v>45977</v>
      </c>
      <c r="B1693">
        <v>2025</v>
      </c>
      <c r="C1693" t="s">
        <v>35</v>
      </c>
      <c r="D1693">
        <v>11</v>
      </c>
      <c r="E1693" t="s">
        <v>23</v>
      </c>
      <c r="F1693" t="s">
        <v>12</v>
      </c>
      <c r="G1693" s="3">
        <v>433</v>
      </c>
      <c r="H1693" s="3">
        <v>183.67</v>
      </c>
      <c r="I1693" s="3">
        <v>79529.11</v>
      </c>
      <c r="J1693" s="3">
        <v>-0.19</v>
      </c>
    </row>
    <row r="1694" spans="1:10" x14ac:dyDescent="0.25">
      <c r="A1694" s="2">
        <v>45977</v>
      </c>
      <c r="B1694">
        <v>2025</v>
      </c>
      <c r="C1694" t="s">
        <v>35</v>
      </c>
      <c r="D1694">
        <v>11</v>
      </c>
      <c r="E1694" t="s">
        <v>23</v>
      </c>
      <c r="F1694" t="s">
        <v>24</v>
      </c>
      <c r="G1694" s="3">
        <v>266</v>
      </c>
      <c r="H1694" s="3">
        <v>78.27</v>
      </c>
      <c r="I1694" s="3">
        <v>20819.82</v>
      </c>
      <c r="J1694" s="3">
        <v>15.61</v>
      </c>
    </row>
    <row r="1695" spans="1:10" x14ac:dyDescent="0.25">
      <c r="A1695" s="2">
        <v>45977</v>
      </c>
      <c r="B1695">
        <v>2025</v>
      </c>
      <c r="C1695" t="s">
        <v>35</v>
      </c>
      <c r="D1695">
        <v>11</v>
      </c>
      <c r="E1695" t="s">
        <v>23</v>
      </c>
      <c r="F1695" t="s">
        <v>14</v>
      </c>
      <c r="G1695" s="3">
        <v>319</v>
      </c>
      <c r="H1695" s="3">
        <v>52.91</v>
      </c>
      <c r="I1695" s="3">
        <v>16878.29</v>
      </c>
      <c r="J1695" s="3">
        <v>23.25</v>
      </c>
    </row>
    <row r="1696" spans="1:10" x14ac:dyDescent="0.25">
      <c r="A1696" s="2">
        <v>45977</v>
      </c>
      <c r="B1696">
        <v>2025</v>
      </c>
      <c r="C1696" t="s">
        <v>35</v>
      </c>
      <c r="D1696">
        <v>11</v>
      </c>
      <c r="E1696" t="s">
        <v>23</v>
      </c>
      <c r="F1696" t="s">
        <v>15</v>
      </c>
      <c r="G1696" s="3">
        <v>568</v>
      </c>
      <c r="H1696" s="3">
        <v>24.6</v>
      </c>
      <c r="I1696" s="3">
        <v>13972.8</v>
      </c>
      <c r="J1696" s="3">
        <v>16.52</v>
      </c>
    </row>
    <row r="1697" spans="1:10" x14ac:dyDescent="0.25">
      <c r="A1697" s="2">
        <v>45977</v>
      </c>
      <c r="B1697">
        <v>2025</v>
      </c>
      <c r="C1697" t="s">
        <v>35</v>
      </c>
      <c r="D1697">
        <v>11</v>
      </c>
      <c r="E1697" t="s">
        <v>23</v>
      </c>
      <c r="F1697" t="s">
        <v>16</v>
      </c>
      <c r="G1697" s="3">
        <v>193</v>
      </c>
      <c r="H1697" s="3">
        <v>107.51</v>
      </c>
      <c r="I1697" s="3">
        <v>20749.43</v>
      </c>
      <c r="J1697" s="3">
        <v>-10.64</v>
      </c>
    </row>
    <row r="1698" spans="1:10" x14ac:dyDescent="0.25">
      <c r="A1698" s="2">
        <v>45977</v>
      </c>
      <c r="B1698">
        <v>2025</v>
      </c>
      <c r="C1698" t="s">
        <v>35</v>
      </c>
      <c r="D1698">
        <v>11</v>
      </c>
      <c r="E1698" t="s">
        <v>23</v>
      </c>
      <c r="F1698" t="s">
        <v>17</v>
      </c>
      <c r="G1698" s="3">
        <v>633</v>
      </c>
      <c r="H1698" s="3">
        <v>34.83</v>
      </c>
      <c r="I1698" s="3">
        <v>22047.39</v>
      </c>
      <c r="J1698" s="3">
        <v>9</v>
      </c>
    </row>
    <row r="1699" spans="1:10" x14ac:dyDescent="0.25">
      <c r="A1699" s="2">
        <v>45977</v>
      </c>
      <c r="B1699">
        <v>2025</v>
      </c>
      <c r="C1699" t="s">
        <v>35</v>
      </c>
      <c r="D1699">
        <v>11</v>
      </c>
      <c r="E1699" t="s">
        <v>23</v>
      </c>
      <c r="F1699" t="s">
        <v>18</v>
      </c>
      <c r="G1699" s="3">
        <v>644</v>
      </c>
      <c r="H1699" s="3">
        <v>177.59</v>
      </c>
      <c r="I1699" s="3">
        <v>114367.96</v>
      </c>
      <c r="J1699" s="3">
        <v>-2.9</v>
      </c>
    </row>
    <row r="1700" spans="1:10" x14ac:dyDescent="0.25">
      <c r="A1700" s="2">
        <v>45977</v>
      </c>
      <c r="B1700">
        <v>2025</v>
      </c>
      <c r="C1700" t="s">
        <v>35</v>
      </c>
      <c r="D1700">
        <v>11</v>
      </c>
      <c r="E1700" t="s">
        <v>23</v>
      </c>
      <c r="F1700" t="s">
        <v>19</v>
      </c>
      <c r="G1700" s="3">
        <v>56</v>
      </c>
      <c r="H1700" s="3">
        <v>174.3</v>
      </c>
      <c r="I1700" s="3">
        <v>9760.7999999999993</v>
      </c>
      <c r="J1700" s="3">
        <v>15.59</v>
      </c>
    </row>
    <row r="1701" spans="1:10" x14ac:dyDescent="0.25">
      <c r="A1701" s="2">
        <v>45977</v>
      </c>
      <c r="B1701">
        <v>2025</v>
      </c>
      <c r="C1701" t="s">
        <v>35</v>
      </c>
      <c r="D1701">
        <v>11</v>
      </c>
      <c r="E1701" t="s">
        <v>23</v>
      </c>
      <c r="F1701" t="s">
        <v>20</v>
      </c>
      <c r="G1701" s="3">
        <v>567</v>
      </c>
      <c r="H1701" s="3">
        <v>144.26</v>
      </c>
      <c r="I1701" s="3">
        <v>81795.42</v>
      </c>
      <c r="J1701" s="3">
        <v>22.8</v>
      </c>
    </row>
    <row r="1702" spans="1:10" x14ac:dyDescent="0.25">
      <c r="A1702" s="2">
        <v>45977</v>
      </c>
      <c r="B1702">
        <v>2025</v>
      </c>
      <c r="C1702" t="s">
        <v>35</v>
      </c>
      <c r="D1702">
        <v>11</v>
      </c>
      <c r="E1702" t="s">
        <v>13</v>
      </c>
      <c r="F1702" t="s">
        <v>12</v>
      </c>
      <c r="G1702" s="3">
        <v>425</v>
      </c>
      <c r="H1702" s="3">
        <v>94.93</v>
      </c>
      <c r="I1702" s="3">
        <v>40345.25</v>
      </c>
      <c r="J1702" s="3">
        <v>-0.74</v>
      </c>
    </row>
    <row r="1703" spans="1:10" x14ac:dyDescent="0.25">
      <c r="A1703" s="2">
        <v>45977</v>
      </c>
      <c r="B1703">
        <v>2025</v>
      </c>
      <c r="C1703" t="s">
        <v>35</v>
      </c>
      <c r="D1703">
        <v>11</v>
      </c>
      <c r="E1703" t="s">
        <v>13</v>
      </c>
      <c r="F1703" t="s">
        <v>25</v>
      </c>
      <c r="G1703" s="3">
        <v>516</v>
      </c>
      <c r="H1703" s="3">
        <v>114.21</v>
      </c>
      <c r="I1703" s="3">
        <v>58932.36</v>
      </c>
      <c r="J1703" s="3">
        <v>21.86</v>
      </c>
    </row>
    <row r="1704" spans="1:10" x14ac:dyDescent="0.25">
      <c r="A1704" s="2">
        <v>45977</v>
      </c>
      <c r="B1704">
        <v>2025</v>
      </c>
      <c r="C1704" t="s">
        <v>35</v>
      </c>
      <c r="D1704">
        <v>11</v>
      </c>
      <c r="E1704" t="s">
        <v>26</v>
      </c>
      <c r="F1704" t="s">
        <v>25</v>
      </c>
      <c r="G1704" s="3">
        <v>534</v>
      </c>
      <c r="H1704" s="3">
        <v>44.86</v>
      </c>
      <c r="I1704" s="3">
        <v>23955.24</v>
      </c>
      <c r="J1704" s="3">
        <v>19.36</v>
      </c>
    </row>
    <row r="1705" spans="1:10" x14ac:dyDescent="0.25">
      <c r="A1705" s="2">
        <v>45977</v>
      </c>
      <c r="B1705">
        <v>2025</v>
      </c>
      <c r="C1705" t="s">
        <v>35</v>
      </c>
      <c r="D1705">
        <v>11</v>
      </c>
      <c r="E1705" t="s">
        <v>11</v>
      </c>
      <c r="F1705" t="s">
        <v>25</v>
      </c>
      <c r="G1705" s="3">
        <v>683</v>
      </c>
      <c r="H1705" s="3">
        <v>32.130000000000003</v>
      </c>
      <c r="I1705" s="3">
        <v>21944.79</v>
      </c>
      <c r="J1705" s="3">
        <v>18.260000000000002</v>
      </c>
    </row>
    <row r="1706" spans="1:10" x14ac:dyDescent="0.25">
      <c r="A1706" s="2">
        <v>45977</v>
      </c>
      <c r="B1706">
        <v>2025</v>
      </c>
      <c r="C1706" t="s">
        <v>35</v>
      </c>
      <c r="D1706">
        <v>11</v>
      </c>
      <c r="E1706" t="s">
        <v>26</v>
      </c>
      <c r="F1706" t="s">
        <v>21</v>
      </c>
      <c r="G1706" s="3">
        <v>57</v>
      </c>
      <c r="H1706" s="3">
        <v>134.93</v>
      </c>
      <c r="I1706" s="3">
        <v>7691.01</v>
      </c>
      <c r="J1706" s="3">
        <v>-2.21</v>
      </c>
    </row>
    <row r="1707" spans="1:10" x14ac:dyDescent="0.25">
      <c r="A1707" s="2">
        <v>45977</v>
      </c>
      <c r="B1707">
        <v>2025</v>
      </c>
      <c r="C1707" t="s">
        <v>35</v>
      </c>
      <c r="D1707">
        <v>11</v>
      </c>
      <c r="E1707" t="s">
        <v>23</v>
      </c>
      <c r="F1707" t="s">
        <v>22</v>
      </c>
      <c r="G1707" s="3">
        <v>735</v>
      </c>
      <c r="H1707" s="3">
        <v>136.22999999999999</v>
      </c>
      <c r="I1707" s="3">
        <v>100129.05</v>
      </c>
      <c r="J1707" s="3">
        <v>5.42</v>
      </c>
    </row>
    <row r="1708" spans="1:10" x14ac:dyDescent="0.25">
      <c r="A1708" s="2">
        <v>45977</v>
      </c>
      <c r="B1708">
        <v>2025</v>
      </c>
      <c r="C1708" t="s">
        <v>35</v>
      </c>
      <c r="D1708">
        <v>11</v>
      </c>
      <c r="E1708" t="s">
        <v>11</v>
      </c>
      <c r="F1708" t="s">
        <v>12</v>
      </c>
      <c r="G1708" s="3">
        <v>124</v>
      </c>
      <c r="H1708" s="3">
        <v>125.27</v>
      </c>
      <c r="I1708" s="3">
        <v>15533.48</v>
      </c>
      <c r="J1708" s="3">
        <v>22.66</v>
      </c>
    </row>
    <row r="1709" spans="1:10" x14ac:dyDescent="0.25">
      <c r="A1709" s="2">
        <v>45977</v>
      </c>
      <c r="B1709">
        <v>2025</v>
      </c>
      <c r="C1709" t="s">
        <v>35</v>
      </c>
      <c r="D1709">
        <v>11</v>
      </c>
      <c r="E1709" t="s">
        <v>11</v>
      </c>
      <c r="F1709" t="s">
        <v>24</v>
      </c>
      <c r="G1709" s="3">
        <v>552</v>
      </c>
      <c r="H1709" s="3">
        <v>123.29</v>
      </c>
      <c r="I1709" s="3">
        <v>68056.08</v>
      </c>
      <c r="J1709" s="3">
        <v>-12.56</v>
      </c>
    </row>
    <row r="1710" spans="1:10" x14ac:dyDescent="0.25">
      <c r="A1710" s="2">
        <v>45977</v>
      </c>
      <c r="B1710">
        <v>2025</v>
      </c>
      <c r="C1710" t="s">
        <v>35</v>
      </c>
      <c r="D1710">
        <v>11</v>
      </c>
      <c r="E1710" t="s">
        <v>11</v>
      </c>
      <c r="F1710" t="s">
        <v>14</v>
      </c>
      <c r="G1710" s="3">
        <v>580</v>
      </c>
      <c r="H1710" s="3">
        <v>132.62</v>
      </c>
      <c r="I1710" s="3">
        <v>76919.600000000006</v>
      </c>
      <c r="J1710" s="3">
        <v>7.02</v>
      </c>
    </row>
    <row r="1711" spans="1:10" x14ac:dyDescent="0.25">
      <c r="A1711" s="2">
        <v>45977</v>
      </c>
      <c r="B1711">
        <v>2025</v>
      </c>
      <c r="C1711" t="s">
        <v>35</v>
      </c>
      <c r="D1711">
        <v>11</v>
      </c>
      <c r="E1711" t="s">
        <v>11</v>
      </c>
      <c r="F1711" t="s">
        <v>15</v>
      </c>
      <c r="G1711" s="3">
        <v>393</v>
      </c>
      <c r="H1711" s="3">
        <v>113.85</v>
      </c>
      <c r="I1711" s="3">
        <v>44743.05</v>
      </c>
      <c r="J1711" s="3">
        <v>20.86</v>
      </c>
    </row>
    <row r="1712" spans="1:10" x14ac:dyDescent="0.25">
      <c r="A1712" s="2">
        <v>45977</v>
      </c>
      <c r="B1712">
        <v>2025</v>
      </c>
      <c r="C1712" t="s">
        <v>35</v>
      </c>
      <c r="D1712">
        <v>11</v>
      </c>
      <c r="E1712" t="s">
        <v>11</v>
      </c>
      <c r="F1712" t="s">
        <v>16</v>
      </c>
      <c r="G1712" s="3">
        <v>202</v>
      </c>
      <c r="H1712" s="3">
        <v>24.06</v>
      </c>
      <c r="I1712" s="3">
        <v>4860.12</v>
      </c>
      <c r="J1712" s="3">
        <v>19.47</v>
      </c>
    </row>
    <row r="1713" spans="1:10" x14ac:dyDescent="0.25">
      <c r="A1713" s="2">
        <v>45977</v>
      </c>
      <c r="B1713">
        <v>2025</v>
      </c>
      <c r="C1713" t="s">
        <v>35</v>
      </c>
      <c r="D1713">
        <v>11</v>
      </c>
      <c r="E1713" t="s">
        <v>11</v>
      </c>
      <c r="F1713" t="s">
        <v>17</v>
      </c>
      <c r="G1713" s="3">
        <v>540</v>
      </c>
      <c r="H1713" s="3">
        <v>125.86</v>
      </c>
      <c r="I1713" s="3">
        <v>67964.399999999994</v>
      </c>
      <c r="J1713" s="3">
        <v>-2.36</v>
      </c>
    </row>
    <row r="1714" spans="1:10" x14ac:dyDescent="0.25">
      <c r="A1714" s="2">
        <v>45977</v>
      </c>
      <c r="B1714">
        <v>2025</v>
      </c>
      <c r="C1714" t="s">
        <v>35</v>
      </c>
      <c r="D1714">
        <v>11</v>
      </c>
      <c r="E1714" t="s">
        <v>11</v>
      </c>
      <c r="F1714" t="s">
        <v>18</v>
      </c>
      <c r="G1714" s="3">
        <v>270</v>
      </c>
      <c r="H1714" s="3">
        <v>165.83</v>
      </c>
      <c r="I1714" s="3">
        <v>44774.1</v>
      </c>
      <c r="J1714" s="3">
        <v>2.19</v>
      </c>
    </row>
    <row r="1715" spans="1:10" x14ac:dyDescent="0.25">
      <c r="A1715" s="2">
        <v>45977</v>
      </c>
      <c r="B1715">
        <v>2025</v>
      </c>
      <c r="C1715" t="s">
        <v>35</v>
      </c>
      <c r="D1715">
        <v>11</v>
      </c>
      <c r="E1715" t="s">
        <v>11</v>
      </c>
      <c r="F1715" t="s">
        <v>19</v>
      </c>
      <c r="G1715" s="3">
        <v>577</v>
      </c>
      <c r="H1715" s="3">
        <v>73.23</v>
      </c>
      <c r="I1715" s="3">
        <v>42253.71</v>
      </c>
      <c r="J1715" s="3">
        <v>-4.7699999999999996</v>
      </c>
    </row>
    <row r="1716" spans="1:10" x14ac:dyDescent="0.25">
      <c r="A1716" s="2">
        <v>45977</v>
      </c>
      <c r="B1716">
        <v>2025</v>
      </c>
      <c r="C1716" t="s">
        <v>35</v>
      </c>
      <c r="D1716">
        <v>11</v>
      </c>
      <c r="E1716" t="s">
        <v>11</v>
      </c>
      <c r="F1716" t="s">
        <v>20</v>
      </c>
      <c r="G1716" s="3">
        <v>91</v>
      </c>
      <c r="H1716" s="3">
        <v>52.54</v>
      </c>
      <c r="I1716" s="3">
        <v>4781.1400000000003</v>
      </c>
      <c r="J1716" s="3">
        <v>-4.25</v>
      </c>
    </row>
    <row r="1717" spans="1:10" x14ac:dyDescent="0.25">
      <c r="A1717" s="2">
        <v>45977</v>
      </c>
      <c r="B1717">
        <v>2025</v>
      </c>
      <c r="C1717" t="s">
        <v>35</v>
      </c>
      <c r="D1717">
        <v>11</v>
      </c>
      <c r="E1717" t="s">
        <v>11</v>
      </c>
      <c r="F1717" t="s">
        <v>21</v>
      </c>
      <c r="G1717" s="3">
        <v>797</v>
      </c>
      <c r="H1717" s="3">
        <v>162.32</v>
      </c>
      <c r="I1717" s="3">
        <v>129369.04</v>
      </c>
      <c r="J1717" s="3">
        <v>0.39</v>
      </c>
    </row>
    <row r="1718" spans="1:10" x14ac:dyDescent="0.25">
      <c r="A1718" s="2">
        <v>45977</v>
      </c>
      <c r="B1718">
        <v>2025</v>
      </c>
      <c r="C1718" t="s">
        <v>35</v>
      </c>
      <c r="D1718">
        <v>11</v>
      </c>
      <c r="E1718" t="s">
        <v>11</v>
      </c>
      <c r="F1718" t="s">
        <v>22</v>
      </c>
      <c r="G1718" s="3">
        <v>394</v>
      </c>
      <c r="H1718" s="3">
        <v>119.92</v>
      </c>
      <c r="I1718" s="3">
        <v>47248.480000000003</v>
      </c>
      <c r="J1718" s="3">
        <v>8.52</v>
      </c>
    </row>
    <row r="1719" spans="1:10" x14ac:dyDescent="0.25">
      <c r="A1719" s="2">
        <v>45977</v>
      </c>
      <c r="B1719">
        <v>2025</v>
      </c>
      <c r="C1719" t="s">
        <v>35</v>
      </c>
      <c r="D1719">
        <v>11</v>
      </c>
      <c r="E1719" t="s">
        <v>26</v>
      </c>
      <c r="F1719" t="s">
        <v>12</v>
      </c>
      <c r="G1719" s="3">
        <v>540</v>
      </c>
      <c r="H1719" s="3">
        <v>35.799999999999997</v>
      </c>
      <c r="I1719" s="3">
        <v>19332</v>
      </c>
      <c r="J1719" s="3">
        <v>-8.1300000000000008</v>
      </c>
    </row>
    <row r="1720" spans="1:10" x14ac:dyDescent="0.25">
      <c r="A1720" s="2">
        <v>45977</v>
      </c>
      <c r="B1720">
        <v>2025</v>
      </c>
      <c r="C1720" t="s">
        <v>35</v>
      </c>
      <c r="D1720">
        <v>11</v>
      </c>
      <c r="E1720" t="s">
        <v>26</v>
      </c>
      <c r="F1720" t="s">
        <v>24</v>
      </c>
      <c r="G1720" s="3">
        <v>591</v>
      </c>
      <c r="H1720" s="3">
        <v>148.68</v>
      </c>
      <c r="I1720" s="3">
        <v>87869.88</v>
      </c>
      <c r="J1720" s="3">
        <v>8.16</v>
      </c>
    </row>
    <row r="1721" spans="1:10" x14ac:dyDescent="0.25">
      <c r="A1721" s="2">
        <v>45977</v>
      </c>
      <c r="B1721">
        <v>2025</v>
      </c>
      <c r="C1721" t="s">
        <v>35</v>
      </c>
      <c r="D1721">
        <v>11</v>
      </c>
      <c r="E1721" t="s">
        <v>26</v>
      </c>
      <c r="F1721" t="s">
        <v>14</v>
      </c>
      <c r="G1721" s="3">
        <v>649</v>
      </c>
      <c r="H1721" s="3">
        <v>92.06</v>
      </c>
      <c r="I1721" s="3">
        <v>59746.94</v>
      </c>
      <c r="J1721" s="3">
        <v>17.47</v>
      </c>
    </row>
    <row r="1722" spans="1:10" x14ac:dyDescent="0.25">
      <c r="A1722" s="2">
        <v>45977</v>
      </c>
      <c r="B1722">
        <v>2025</v>
      </c>
      <c r="C1722" t="s">
        <v>35</v>
      </c>
      <c r="D1722">
        <v>11</v>
      </c>
      <c r="E1722" t="s">
        <v>26</v>
      </c>
      <c r="F1722" t="s">
        <v>15</v>
      </c>
      <c r="G1722" s="3">
        <v>64</v>
      </c>
      <c r="H1722" s="3">
        <v>89.74</v>
      </c>
      <c r="I1722" s="3">
        <v>5743.36</v>
      </c>
      <c r="J1722" s="3">
        <v>19.54</v>
      </c>
    </row>
    <row r="1723" spans="1:10" x14ac:dyDescent="0.25">
      <c r="A1723" s="2">
        <v>45977</v>
      </c>
      <c r="B1723">
        <v>2025</v>
      </c>
      <c r="C1723" t="s">
        <v>35</v>
      </c>
      <c r="D1723">
        <v>11</v>
      </c>
      <c r="E1723" t="s">
        <v>26</v>
      </c>
      <c r="F1723" t="s">
        <v>16</v>
      </c>
      <c r="G1723" s="3">
        <v>670</v>
      </c>
      <c r="H1723" s="3">
        <v>163.76</v>
      </c>
      <c r="I1723" s="3">
        <v>109719.2</v>
      </c>
      <c r="J1723" s="3">
        <v>22.31</v>
      </c>
    </row>
    <row r="1724" spans="1:10" x14ac:dyDescent="0.25">
      <c r="A1724" s="2">
        <v>45977</v>
      </c>
      <c r="B1724">
        <v>2025</v>
      </c>
      <c r="C1724" t="s">
        <v>35</v>
      </c>
      <c r="D1724">
        <v>11</v>
      </c>
      <c r="E1724" t="s">
        <v>26</v>
      </c>
      <c r="F1724" t="s">
        <v>17</v>
      </c>
      <c r="G1724" s="3">
        <v>321</v>
      </c>
      <c r="H1724" s="3">
        <v>79.900000000000006</v>
      </c>
      <c r="I1724" s="3">
        <v>25647.9</v>
      </c>
      <c r="J1724" s="3">
        <v>7.3</v>
      </c>
    </row>
    <row r="1725" spans="1:10" x14ac:dyDescent="0.25">
      <c r="A1725" s="2">
        <v>45977</v>
      </c>
      <c r="B1725">
        <v>2025</v>
      </c>
      <c r="C1725" t="s">
        <v>35</v>
      </c>
      <c r="D1725">
        <v>11</v>
      </c>
      <c r="E1725" t="s">
        <v>26</v>
      </c>
      <c r="F1725" t="s">
        <v>18</v>
      </c>
      <c r="G1725" s="3">
        <v>118</v>
      </c>
      <c r="H1725" s="3">
        <v>102.53</v>
      </c>
      <c r="I1725" s="3">
        <v>12098.54</v>
      </c>
      <c r="J1725" s="3">
        <v>7.58</v>
      </c>
    </row>
    <row r="1726" spans="1:10" x14ac:dyDescent="0.25">
      <c r="A1726" s="2">
        <v>45977</v>
      </c>
      <c r="B1726">
        <v>2025</v>
      </c>
      <c r="C1726" t="s">
        <v>35</v>
      </c>
      <c r="D1726">
        <v>11</v>
      </c>
      <c r="E1726" t="s">
        <v>26</v>
      </c>
      <c r="F1726" t="s">
        <v>19</v>
      </c>
      <c r="G1726" s="3">
        <v>707</v>
      </c>
      <c r="H1726" s="3">
        <v>179.46</v>
      </c>
      <c r="I1726" s="3">
        <v>126878.22</v>
      </c>
      <c r="J1726" s="3">
        <v>17.64</v>
      </c>
    </row>
    <row r="1727" spans="1:10" x14ac:dyDescent="0.25">
      <c r="A1727" s="2">
        <v>45977</v>
      </c>
      <c r="B1727">
        <v>2025</v>
      </c>
      <c r="C1727" t="s">
        <v>35</v>
      </c>
      <c r="D1727">
        <v>11</v>
      </c>
      <c r="E1727" t="s">
        <v>26</v>
      </c>
      <c r="F1727" t="s">
        <v>20</v>
      </c>
      <c r="G1727" s="3">
        <v>670</v>
      </c>
      <c r="H1727" s="3">
        <v>149.63</v>
      </c>
      <c r="I1727" s="3">
        <v>100252.1</v>
      </c>
      <c r="J1727" s="3">
        <v>-3.51</v>
      </c>
    </row>
    <row r="1728" spans="1:10" x14ac:dyDescent="0.25">
      <c r="A1728" s="2">
        <v>45977</v>
      </c>
      <c r="B1728">
        <v>2025</v>
      </c>
      <c r="C1728" t="s">
        <v>35</v>
      </c>
      <c r="D1728">
        <v>11</v>
      </c>
      <c r="E1728" t="s">
        <v>26</v>
      </c>
      <c r="F1728" t="s">
        <v>22</v>
      </c>
      <c r="G1728" s="3">
        <v>570</v>
      </c>
      <c r="H1728" s="3">
        <v>44.77</v>
      </c>
      <c r="I1728" s="3">
        <v>25518.9</v>
      </c>
      <c r="J1728" s="3">
        <v>-14.96</v>
      </c>
    </row>
    <row r="1729" spans="1:10" x14ac:dyDescent="0.25">
      <c r="A1729" s="2">
        <v>45977</v>
      </c>
      <c r="B1729">
        <v>2025</v>
      </c>
      <c r="C1729" t="s">
        <v>35</v>
      </c>
      <c r="D1729">
        <v>11</v>
      </c>
      <c r="E1729" t="s">
        <v>23</v>
      </c>
      <c r="F1729" t="s">
        <v>25</v>
      </c>
      <c r="G1729" s="3">
        <v>164</v>
      </c>
      <c r="H1729" s="3">
        <v>75.09</v>
      </c>
      <c r="I1729" s="3">
        <v>12314.76</v>
      </c>
      <c r="J1729" s="3">
        <v>-12.45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"/>
  <sheetViews>
    <sheetView tabSelected="1" zoomScale="115" zoomScaleNormal="115" workbookViewId="0">
      <selection activeCell="N4" sqref="N4"/>
    </sheetView>
  </sheetViews>
  <sheetFormatPr defaultRowHeight="15" x14ac:dyDescent="0.25"/>
  <cols>
    <col min="1" max="1" width="13.140625" bestFit="1" customWidth="1"/>
    <col min="3" max="3" width="9.28515625" bestFit="1" customWidth="1"/>
    <col min="5" max="5" width="12.140625" bestFit="1" customWidth="1"/>
    <col min="7" max="7" width="12.42578125" bestFit="1" customWidth="1"/>
    <col min="12" max="12" width="12" bestFit="1" customWidth="1"/>
    <col min="17" max="17" width="12.28515625" bestFit="1" customWidth="1"/>
  </cols>
  <sheetData>
    <row r="1" spans="1:19" ht="18.75" x14ac:dyDescent="0.25">
      <c r="A1" s="8" t="s">
        <v>38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25">
      <c r="A2" s="18" t="s">
        <v>39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19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x14ac:dyDescent="0.25">
      <c r="A4" s="13" t="s">
        <v>40</v>
      </c>
      <c r="B4" s="14"/>
      <c r="C4" s="14"/>
      <c r="D4" s="14"/>
      <c r="E4" s="14"/>
      <c r="F4" s="13" t="s">
        <v>41</v>
      </c>
      <c r="G4" s="14"/>
      <c r="H4" s="14"/>
      <c r="I4" s="14"/>
      <c r="J4" s="14"/>
      <c r="K4" s="14"/>
      <c r="L4" s="13" t="s">
        <v>42</v>
      </c>
      <c r="M4" s="14"/>
      <c r="N4" s="14"/>
      <c r="O4" s="14"/>
      <c r="P4" s="14"/>
      <c r="Q4" s="13" t="s">
        <v>43</v>
      </c>
      <c r="R4" s="14"/>
      <c r="S4" s="14"/>
    </row>
    <row r="5" spans="1:19" ht="15.75" x14ac:dyDescent="0.25">
      <c r="A5" s="15">
        <f>SUM(Sales_Data!I:I)</f>
        <v>77780866.000000075</v>
      </c>
      <c r="B5" s="14"/>
      <c r="C5" s="14"/>
      <c r="D5" s="14"/>
      <c r="E5" s="14"/>
      <c r="F5" s="16">
        <f>SUM(Sales_Data!G:G)</f>
        <v>723328</v>
      </c>
      <c r="G5" s="14"/>
      <c r="H5" s="14"/>
      <c r="I5" s="14"/>
      <c r="J5" s="14"/>
      <c r="K5" s="14"/>
      <c r="L5" s="17">
        <f>AVERAGE(Sales_Data!J:J)</f>
        <v>5.1389351851851917</v>
      </c>
      <c r="M5" s="14"/>
      <c r="N5" s="14"/>
      <c r="O5" s="14"/>
      <c r="P5" s="14"/>
      <c r="Q5" s="15">
        <f>AVERAGE(Sales_Data!I:I)</f>
        <v>45012.075231481525</v>
      </c>
      <c r="R5" s="14"/>
      <c r="S5" s="14"/>
    </row>
  </sheetData>
  <mergeCells count="2">
    <mergeCell ref="A1:S1"/>
    <mergeCell ref="A2:S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Q17" sqref="Q17"/>
    </sheetView>
  </sheetViews>
  <sheetFormatPr defaultRowHeight="15" x14ac:dyDescent="0.25"/>
  <cols>
    <col min="1" max="1" width="6.7109375" bestFit="1" customWidth="1"/>
    <col min="2" max="2" width="14" bestFit="1" customWidth="1"/>
    <col min="3" max="3" width="10" bestFit="1" customWidth="1"/>
    <col min="4" max="4" width="19.42578125" bestFit="1" customWidth="1"/>
  </cols>
  <sheetData>
    <row r="1" spans="1:4" ht="15.75" x14ac:dyDescent="0.25">
      <c r="A1" s="9" t="s">
        <v>44</v>
      </c>
      <c r="B1" s="10"/>
      <c r="C1" s="10"/>
      <c r="D1" s="10"/>
    </row>
    <row r="2" spans="1:4" x14ac:dyDescent="0.25">
      <c r="A2" s="4" t="s">
        <v>4</v>
      </c>
      <c r="B2" s="4" t="s">
        <v>40</v>
      </c>
      <c r="C2" s="4" t="s">
        <v>41</v>
      </c>
      <c r="D2" s="4" t="s">
        <v>45</v>
      </c>
    </row>
    <row r="3" spans="1:4" x14ac:dyDescent="0.25">
      <c r="A3" s="5" t="s">
        <v>11</v>
      </c>
      <c r="B3" s="11">
        <f>SUMIF(Sales_Data!E:E,"North",Sales_Data!I:I)</f>
        <v>18917999.809999991</v>
      </c>
      <c r="C3" s="6">
        <f>SUMIF(Sales_Data!E:E,"North",Sales_Data!G:G)</f>
        <v>181323</v>
      </c>
      <c r="D3" s="11">
        <f>B3/C3</f>
        <v>104.33315028981426</v>
      </c>
    </row>
    <row r="4" spans="1:4" x14ac:dyDescent="0.25">
      <c r="A4" s="5" t="s">
        <v>26</v>
      </c>
      <c r="B4" s="11">
        <f>SUMIF(Sales_Data!E:E,"South",Sales_Data!I:I)</f>
        <v>20180348.640000004</v>
      </c>
      <c r="C4" s="6">
        <f>SUMIF(Sales_Data!E:E,"South",Sales_Data!G:G)</f>
        <v>180275</v>
      </c>
      <c r="D4" s="11">
        <f>B4/C4</f>
        <v>111.94202546110112</v>
      </c>
    </row>
    <row r="5" spans="1:4" x14ac:dyDescent="0.25">
      <c r="A5" s="5" t="s">
        <v>13</v>
      </c>
      <c r="B5" s="11">
        <f>SUMIF(Sales_Data!E:E,"East",Sales_Data!I:I)</f>
        <v>19380322.020000007</v>
      </c>
      <c r="C5" s="6">
        <f>SUMIF(Sales_Data!E:E,"East",Sales_Data!G:G)</f>
        <v>180752</v>
      </c>
      <c r="D5" s="11">
        <f>B5/C5</f>
        <v>107.22051219350274</v>
      </c>
    </row>
    <row r="6" spans="1:4" x14ac:dyDescent="0.25">
      <c r="A6" s="5" t="s">
        <v>23</v>
      </c>
      <c r="B6" s="11">
        <f>SUMIF(Sales_Data!E:E,"West",Sales_Data!I:I)</f>
        <v>19302195.529999994</v>
      </c>
      <c r="C6" s="6">
        <f>SUMIF(Sales_Data!E:E,"West",Sales_Data!G:G)</f>
        <v>180978</v>
      </c>
      <c r="D6" s="11">
        <f>B6/C6</f>
        <v>106.65492783653258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Q12" sqref="Q12"/>
    </sheetView>
  </sheetViews>
  <sheetFormatPr defaultRowHeight="15" x14ac:dyDescent="0.25"/>
  <cols>
    <col min="1" max="1" width="9.5703125" bestFit="1" customWidth="1"/>
    <col min="2" max="2" width="13.140625" bestFit="1" customWidth="1"/>
    <col min="3" max="3" width="10" bestFit="1" customWidth="1"/>
    <col min="4" max="4" width="19.42578125" bestFit="1" customWidth="1"/>
  </cols>
  <sheetData>
    <row r="1" spans="1:4" ht="15.75" x14ac:dyDescent="0.25">
      <c r="A1" s="9" t="s">
        <v>46</v>
      </c>
      <c r="B1" s="10"/>
      <c r="C1" s="10"/>
      <c r="D1" s="10"/>
    </row>
    <row r="2" spans="1:4" x14ac:dyDescent="0.25">
      <c r="A2" s="4" t="s">
        <v>5</v>
      </c>
      <c r="B2" s="4" t="s">
        <v>40</v>
      </c>
      <c r="C2" s="4" t="s">
        <v>41</v>
      </c>
      <c r="D2" s="4" t="s">
        <v>45</v>
      </c>
    </row>
    <row r="3" spans="1:4" x14ac:dyDescent="0.25">
      <c r="A3" s="5" t="s">
        <v>12</v>
      </c>
      <c r="B3" s="11">
        <f>SUMIF(Sales_Data!F:F,"Product_A",Sales_Data!I:I)</f>
        <v>5870583.160000002</v>
      </c>
      <c r="C3" s="11">
        <f>SUMIF(Sales_Data!F:F,"Product_A",Sales_Data!G:G)</f>
        <v>58720</v>
      </c>
      <c r="D3" s="11">
        <f t="shared" ref="D3:D14" si="0">B3/C3</f>
        <v>99.975871253406027</v>
      </c>
    </row>
    <row r="4" spans="1:4" x14ac:dyDescent="0.25">
      <c r="A4" s="5" t="s">
        <v>24</v>
      </c>
      <c r="B4" s="11">
        <f>SUMIF(Sales_Data!F:F,"Product_B",Sales_Data!I:I)</f>
        <v>5882264.6399999997</v>
      </c>
      <c r="C4" s="11">
        <f>SUMIF(Sales_Data!F:F,"Product_B",Sales_Data!G:G)</f>
        <v>57698</v>
      </c>
      <c r="D4" s="11">
        <f t="shared" si="0"/>
        <v>101.94919477278242</v>
      </c>
    </row>
    <row r="5" spans="1:4" x14ac:dyDescent="0.25">
      <c r="A5" s="5" t="s">
        <v>14</v>
      </c>
      <c r="B5" s="11">
        <f>SUMIF(Sales_Data!F:F,"Product_C",Sales_Data!I:I)</f>
        <v>6068712.5400000028</v>
      </c>
      <c r="C5" s="11">
        <f>SUMIF(Sales_Data!F:F,"Product_C",Sales_Data!G:G)</f>
        <v>59119</v>
      </c>
      <c r="D5" s="11">
        <f t="shared" si="0"/>
        <v>102.65248972411581</v>
      </c>
    </row>
    <row r="6" spans="1:4" x14ac:dyDescent="0.25">
      <c r="A6" s="5" t="s">
        <v>15</v>
      </c>
      <c r="B6" s="11">
        <f>SUMIF(Sales_Data!F:F,"Product_D",Sales_Data!I:I)</f>
        <v>6280942.0700000012</v>
      </c>
      <c r="C6" s="11">
        <f>SUMIF(Sales_Data!F:F,"Product_D",Sales_Data!G:G)</f>
        <v>62673</v>
      </c>
      <c r="D6" s="11">
        <f t="shared" si="0"/>
        <v>100.21767060775774</v>
      </c>
    </row>
    <row r="7" spans="1:4" x14ac:dyDescent="0.25">
      <c r="A7" s="5" t="s">
        <v>16</v>
      </c>
      <c r="B7" s="11">
        <f>SUMIF(Sales_Data!F:F,"Product_E",Sales_Data!I:I)</f>
        <v>6818899.9700000035</v>
      </c>
      <c r="C7" s="11">
        <f>SUMIF(Sales_Data!F:F,"Product_E",Sales_Data!G:G)</f>
        <v>58249</v>
      </c>
      <c r="D7" s="11">
        <f t="shared" si="0"/>
        <v>117.0646701230923</v>
      </c>
    </row>
    <row r="8" spans="1:4" x14ac:dyDescent="0.25">
      <c r="A8" s="5" t="s">
        <v>17</v>
      </c>
      <c r="B8" s="11">
        <f>SUMIF(Sales_Data!F:F,"Product_F",Sales_Data!I:I)</f>
        <v>6294365.0700000003</v>
      </c>
      <c r="C8" s="11">
        <f>SUMIF(Sales_Data!F:F,"Product_F",Sales_Data!G:G)</f>
        <v>61199</v>
      </c>
      <c r="D8" s="11">
        <f t="shared" si="0"/>
        <v>102.85078301933039</v>
      </c>
    </row>
    <row r="9" spans="1:4" x14ac:dyDescent="0.25">
      <c r="A9" s="5" t="s">
        <v>18</v>
      </c>
      <c r="B9" s="11">
        <f>SUMIF(Sales_Data!F:F,"Product_G",Sales_Data!I:I)</f>
        <v>6759086.0199999986</v>
      </c>
      <c r="C9" s="11">
        <f>SUMIF(Sales_Data!F:F,"Product_G",Sales_Data!G:G)</f>
        <v>62366</v>
      </c>
      <c r="D9" s="11">
        <f t="shared" si="0"/>
        <v>108.3777381906808</v>
      </c>
    </row>
    <row r="10" spans="1:4" x14ac:dyDescent="0.25">
      <c r="A10" s="5" t="s">
        <v>19</v>
      </c>
      <c r="B10" s="11">
        <f>SUMIF(Sales_Data!F:F,"Product_H",Sales_Data!I:I)</f>
        <v>6381293.0599999921</v>
      </c>
      <c r="C10" s="11">
        <f>SUMIF(Sales_Data!F:F,"Product_H",Sales_Data!G:G)</f>
        <v>60483</v>
      </c>
      <c r="D10" s="11">
        <f t="shared" si="0"/>
        <v>105.50556453879589</v>
      </c>
    </row>
    <row r="11" spans="1:4" x14ac:dyDescent="0.25">
      <c r="A11" s="5" t="s">
        <v>20</v>
      </c>
      <c r="B11" s="11">
        <f>SUMIF(Sales_Data!F:F,"Product_I",Sales_Data!I:I)</f>
        <v>7177511.7900000019</v>
      </c>
      <c r="C11" s="11">
        <f>SUMIF(Sales_Data!F:F,"Product_I",Sales_Data!G:G)</f>
        <v>59904</v>
      </c>
      <c r="D11" s="11">
        <f t="shared" si="0"/>
        <v>119.81690354567311</v>
      </c>
    </row>
    <row r="12" spans="1:4" x14ac:dyDescent="0.25">
      <c r="A12" s="5" t="s">
        <v>21</v>
      </c>
      <c r="B12" s="11">
        <f>SUMIF(Sales_Data!F:F,"Product_J",Sales_Data!I:I)</f>
        <v>6700911.4100000001</v>
      </c>
      <c r="C12" s="11">
        <f>SUMIF(Sales_Data!F:F,"Product_J",Sales_Data!G:G)</f>
        <v>60541</v>
      </c>
      <c r="D12" s="11">
        <f t="shared" si="0"/>
        <v>110.68385738590376</v>
      </c>
    </row>
    <row r="13" spans="1:4" x14ac:dyDescent="0.25">
      <c r="A13" s="5" t="s">
        <v>22</v>
      </c>
      <c r="B13" s="11">
        <f>SUMIF(Sales_Data!F:F,"Product_K",Sales_Data!I:I)</f>
        <v>6579946.160000002</v>
      </c>
      <c r="C13" s="11">
        <f>SUMIF(Sales_Data!F:F,"Product_K",Sales_Data!G:G)</f>
        <v>61489</v>
      </c>
      <c r="D13" s="11">
        <f t="shared" si="0"/>
        <v>107.01013449560087</v>
      </c>
    </row>
    <row r="14" spans="1:4" x14ac:dyDescent="0.25">
      <c r="A14" s="5" t="s">
        <v>25</v>
      </c>
      <c r="B14" s="11">
        <f>SUMIF(Sales_Data!F:F,"Product_L",Sales_Data!I:I)</f>
        <v>6966350.1100000013</v>
      </c>
      <c r="C14" s="11">
        <f>SUMIF(Sales_Data!F:F,"Product_L",Sales_Data!G:G)</f>
        <v>60887</v>
      </c>
      <c r="D14" s="11">
        <f t="shared" si="0"/>
        <v>114.41440882290146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topLeftCell="A12" workbookViewId="0">
      <selection activeCell="Q20" sqref="Q20"/>
    </sheetView>
  </sheetViews>
  <sheetFormatPr defaultRowHeight="15" x14ac:dyDescent="0.25"/>
  <cols>
    <col min="1" max="1" width="13.28515625" bestFit="1" customWidth="1"/>
    <col min="2" max="2" width="13.7109375" bestFit="1" customWidth="1"/>
    <col min="3" max="3" width="15.42578125" bestFit="1" customWidth="1"/>
    <col min="4" max="4" width="6.7109375" bestFit="1" customWidth="1"/>
  </cols>
  <sheetData>
    <row r="1" spans="1:4" ht="15.75" x14ac:dyDescent="0.25">
      <c r="A1" s="9" t="s">
        <v>82</v>
      </c>
      <c r="B1" s="10"/>
      <c r="C1" s="10"/>
      <c r="D1" s="10"/>
    </row>
    <row r="2" spans="1:4" x14ac:dyDescent="0.25">
      <c r="A2" s="4" t="s">
        <v>47</v>
      </c>
      <c r="B2" s="4" t="s">
        <v>83</v>
      </c>
      <c r="C2" s="4" t="s">
        <v>84</v>
      </c>
      <c r="D2" s="4" t="s">
        <v>85</v>
      </c>
    </row>
    <row r="3" spans="1:4" x14ac:dyDescent="0.25">
      <c r="A3" t="s">
        <v>48</v>
      </c>
      <c r="B3" s="12">
        <v>4271888.6500000004</v>
      </c>
    </row>
    <row r="4" spans="1:4" x14ac:dyDescent="0.25">
      <c r="A4" t="s">
        <v>49</v>
      </c>
      <c r="B4" s="12">
        <v>2699941.74</v>
      </c>
      <c r="C4" s="7">
        <f>(B4-B3)/B3</f>
        <v>-0.36797469194333987</v>
      </c>
      <c r="D4" t="str">
        <f t="shared" ref="D4:D36" si="0">IF(C4&gt;0,"UP","DOWN")</f>
        <v>DOWN</v>
      </c>
    </row>
    <row r="5" spans="1:4" x14ac:dyDescent="0.25">
      <c r="A5" t="s">
        <v>50</v>
      </c>
      <c r="B5" s="12">
        <v>2189061.35</v>
      </c>
      <c r="C5" s="7">
        <f t="shared" ref="C5:C36" si="1">(B5-B4)/B4</f>
        <v>-0.1892190421857029</v>
      </c>
      <c r="D5" t="str">
        <f t="shared" si="0"/>
        <v>DOWN</v>
      </c>
    </row>
    <row r="6" spans="1:4" x14ac:dyDescent="0.25">
      <c r="A6" t="s">
        <v>51</v>
      </c>
      <c r="B6" s="12">
        <v>4608079.5599999996</v>
      </c>
      <c r="C6" s="7">
        <f t="shared" si="1"/>
        <v>1.1050481568275825</v>
      </c>
      <c r="D6" t="str">
        <f t="shared" si="0"/>
        <v>UP</v>
      </c>
    </row>
    <row r="7" spans="1:4" x14ac:dyDescent="0.25">
      <c r="A7" t="s">
        <v>52</v>
      </c>
      <c r="B7" s="12">
        <v>1798505.9</v>
      </c>
      <c r="C7" s="7">
        <f t="shared" si="1"/>
        <v>-0.60970597912159308</v>
      </c>
      <c r="D7" t="str">
        <f t="shared" si="0"/>
        <v>DOWN</v>
      </c>
    </row>
    <row r="8" spans="1:4" x14ac:dyDescent="0.25">
      <c r="A8" t="s">
        <v>53</v>
      </c>
      <c r="B8" s="12">
        <v>2669441.15</v>
      </c>
      <c r="C8" s="7">
        <f t="shared" si="1"/>
        <v>0.48425487511606163</v>
      </c>
      <c r="D8" t="str">
        <f t="shared" si="0"/>
        <v>UP</v>
      </c>
    </row>
    <row r="9" spans="1:4" x14ac:dyDescent="0.25">
      <c r="A9" t="s">
        <v>54</v>
      </c>
      <c r="B9" s="12">
        <v>1963856.02</v>
      </c>
      <c r="C9" s="7">
        <f t="shared" si="1"/>
        <v>-0.26431941756798044</v>
      </c>
      <c r="D9" t="str">
        <f t="shared" si="0"/>
        <v>DOWN</v>
      </c>
    </row>
    <row r="10" spans="1:4" x14ac:dyDescent="0.25">
      <c r="A10" t="s">
        <v>55</v>
      </c>
      <c r="B10" s="12">
        <v>2025072.12</v>
      </c>
      <c r="C10" s="7">
        <f t="shared" si="1"/>
        <v>3.1171378846805729E-2</v>
      </c>
      <c r="D10" t="str">
        <f t="shared" si="0"/>
        <v>UP</v>
      </c>
    </row>
    <row r="11" spans="1:4" x14ac:dyDescent="0.25">
      <c r="A11" t="s">
        <v>56</v>
      </c>
      <c r="B11" s="12">
        <v>2131421.6</v>
      </c>
      <c r="C11" s="7">
        <f t="shared" si="1"/>
        <v>5.2516391366841775E-2</v>
      </c>
      <c r="D11" t="str">
        <f t="shared" si="0"/>
        <v>UP</v>
      </c>
    </row>
    <row r="12" spans="1:4" x14ac:dyDescent="0.25">
      <c r="A12" t="s">
        <v>57</v>
      </c>
      <c r="B12" s="12">
        <v>2047222.75</v>
      </c>
      <c r="C12" s="7">
        <f t="shared" si="1"/>
        <v>-3.9503611111006892E-2</v>
      </c>
      <c r="D12" t="str">
        <f t="shared" si="0"/>
        <v>DOWN</v>
      </c>
    </row>
    <row r="13" spans="1:4" x14ac:dyDescent="0.25">
      <c r="A13" t="s">
        <v>58</v>
      </c>
      <c r="B13" s="12">
        <v>2515238.92</v>
      </c>
      <c r="C13" s="7">
        <f t="shared" si="1"/>
        <v>0.22861028190508331</v>
      </c>
      <c r="D13" t="str">
        <f t="shared" si="0"/>
        <v>UP</v>
      </c>
    </row>
    <row r="14" spans="1:4" x14ac:dyDescent="0.25">
      <c r="A14" t="s">
        <v>59</v>
      </c>
      <c r="B14" s="12">
        <v>2148455.79</v>
      </c>
      <c r="C14" s="7">
        <f t="shared" si="1"/>
        <v>-0.14582436963880946</v>
      </c>
      <c r="D14" t="str">
        <f t="shared" si="0"/>
        <v>DOWN</v>
      </c>
    </row>
    <row r="15" spans="1:4" x14ac:dyDescent="0.25">
      <c r="A15" t="s">
        <v>60</v>
      </c>
      <c r="B15" s="12">
        <v>2188397.23</v>
      </c>
      <c r="C15" s="7">
        <f t="shared" si="1"/>
        <v>1.8590766533762345E-2</v>
      </c>
      <c r="D15" t="str">
        <f t="shared" si="0"/>
        <v>UP</v>
      </c>
    </row>
    <row r="16" spans="1:4" x14ac:dyDescent="0.25">
      <c r="A16" t="s">
        <v>61</v>
      </c>
      <c r="B16" s="12">
        <v>2167850.29</v>
      </c>
      <c r="C16" s="7">
        <f t="shared" si="1"/>
        <v>-9.3890358287466603E-3</v>
      </c>
      <c r="D16" t="str">
        <f t="shared" si="0"/>
        <v>DOWN</v>
      </c>
    </row>
    <row r="17" spans="1:4" x14ac:dyDescent="0.25">
      <c r="A17" t="s">
        <v>62</v>
      </c>
      <c r="B17" s="12">
        <v>1926747.19</v>
      </c>
      <c r="C17" s="7">
        <f t="shared" si="1"/>
        <v>-0.11121759704172196</v>
      </c>
      <c r="D17" t="str">
        <f t="shared" si="0"/>
        <v>DOWN</v>
      </c>
    </row>
    <row r="18" spans="1:4" x14ac:dyDescent="0.25">
      <c r="A18" t="s">
        <v>63</v>
      </c>
      <c r="B18" s="12">
        <v>2398835.84</v>
      </c>
      <c r="C18" s="7">
        <f t="shared" si="1"/>
        <v>0.24501847074187244</v>
      </c>
      <c r="D18" t="str">
        <f t="shared" si="0"/>
        <v>UP</v>
      </c>
    </row>
    <row r="19" spans="1:4" x14ac:dyDescent="0.25">
      <c r="A19" t="s">
        <v>64</v>
      </c>
      <c r="B19" s="12">
        <v>2173274.44</v>
      </c>
      <c r="C19" s="7">
        <f t="shared" si="1"/>
        <v>-9.4029527256020956E-2</v>
      </c>
      <c r="D19" t="str">
        <f t="shared" si="0"/>
        <v>DOWN</v>
      </c>
    </row>
    <row r="20" spans="1:4" x14ac:dyDescent="0.25">
      <c r="A20" t="s">
        <v>65</v>
      </c>
      <c r="B20" s="12">
        <v>2277555.25</v>
      </c>
      <c r="C20" s="7">
        <f t="shared" si="1"/>
        <v>4.798326804966245E-2</v>
      </c>
      <c r="D20" t="str">
        <f t="shared" si="0"/>
        <v>UP</v>
      </c>
    </row>
    <row r="21" spans="1:4" x14ac:dyDescent="0.25">
      <c r="A21" t="s">
        <v>66</v>
      </c>
      <c r="B21" s="12">
        <v>1615866.96</v>
      </c>
      <c r="C21" s="7">
        <f t="shared" si="1"/>
        <v>-0.29052568099061482</v>
      </c>
      <c r="D21" t="str">
        <f t="shared" si="0"/>
        <v>DOWN</v>
      </c>
    </row>
    <row r="22" spans="1:4" x14ac:dyDescent="0.25">
      <c r="A22" t="s">
        <v>67</v>
      </c>
      <c r="B22" s="12">
        <v>2318550.35</v>
      </c>
      <c r="C22" s="7">
        <f t="shared" si="1"/>
        <v>0.43486463142980541</v>
      </c>
      <c r="D22" t="str">
        <f t="shared" si="0"/>
        <v>UP</v>
      </c>
    </row>
    <row r="23" spans="1:4" x14ac:dyDescent="0.25">
      <c r="A23" t="s">
        <v>68</v>
      </c>
      <c r="B23" s="12">
        <v>2046616.89</v>
      </c>
      <c r="C23" s="7">
        <f t="shared" si="1"/>
        <v>-0.11728598432205718</v>
      </c>
      <c r="D23" t="str">
        <f t="shared" si="0"/>
        <v>DOWN</v>
      </c>
    </row>
    <row r="24" spans="1:4" x14ac:dyDescent="0.25">
      <c r="A24" t="s">
        <v>69</v>
      </c>
      <c r="B24" s="12">
        <v>2168667.7400000002</v>
      </c>
      <c r="C24" s="7">
        <f t="shared" si="1"/>
        <v>5.9635416181872875E-2</v>
      </c>
      <c r="D24" t="str">
        <f t="shared" si="0"/>
        <v>UP</v>
      </c>
    </row>
    <row r="25" spans="1:4" x14ac:dyDescent="0.25">
      <c r="A25" t="s">
        <v>70</v>
      </c>
      <c r="B25" s="12">
        <v>2103174.31</v>
      </c>
      <c r="C25" s="7">
        <f t="shared" si="1"/>
        <v>-3.0199845182369966E-2</v>
      </c>
      <c r="D25" t="str">
        <f t="shared" si="0"/>
        <v>DOWN</v>
      </c>
    </row>
    <row r="26" spans="1:4" x14ac:dyDescent="0.25">
      <c r="A26" t="s">
        <v>71</v>
      </c>
      <c r="B26" s="12">
        <v>2488634.89</v>
      </c>
      <c r="C26" s="7">
        <f t="shared" si="1"/>
        <v>0.18327562207623202</v>
      </c>
      <c r="D26" t="str">
        <f t="shared" si="0"/>
        <v>UP</v>
      </c>
    </row>
    <row r="27" spans="1:4" x14ac:dyDescent="0.25">
      <c r="A27" t="s">
        <v>72</v>
      </c>
      <c r="B27" s="12">
        <v>2564296.58</v>
      </c>
      <c r="C27" s="7">
        <f t="shared" si="1"/>
        <v>3.0402888870532527E-2</v>
      </c>
      <c r="D27" t="str">
        <f t="shared" si="0"/>
        <v>UP</v>
      </c>
    </row>
    <row r="28" spans="1:4" x14ac:dyDescent="0.25">
      <c r="A28" t="s">
        <v>73</v>
      </c>
      <c r="B28" s="12">
        <v>1747992.17</v>
      </c>
      <c r="C28" s="7">
        <f t="shared" si="1"/>
        <v>-0.3183346327280131</v>
      </c>
      <c r="D28" t="str">
        <f t="shared" si="0"/>
        <v>DOWN</v>
      </c>
    </row>
    <row r="29" spans="1:4" x14ac:dyDescent="0.25">
      <c r="A29" t="s">
        <v>74</v>
      </c>
      <c r="B29" s="12">
        <v>2076893.31</v>
      </c>
      <c r="C29" s="7">
        <f t="shared" si="1"/>
        <v>0.18815938975287294</v>
      </c>
      <c r="D29" t="str">
        <f t="shared" si="0"/>
        <v>UP</v>
      </c>
    </row>
    <row r="30" spans="1:4" x14ac:dyDescent="0.25">
      <c r="A30" t="s">
        <v>75</v>
      </c>
      <c r="B30" s="12">
        <v>1767483.78</v>
      </c>
      <c r="C30" s="7">
        <f t="shared" si="1"/>
        <v>-0.148977094061707</v>
      </c>
      <c r="D30" t="str">
        <f t="shared" si="0"/>
        <v>DOWN</v>
      </c>
    </row>
    <row r="31" spans="1:4" x14ac:dyDescent="0.25">
      <c r="A31" t="s">
        <v>76</v>
      </c>
      <c r="B31" s="12">
        <v>2041666.25</v>
      </c>
      <c r="C31" s="7">
        <f t="shared" si="1"/>
        <v>0.15512587617635731</v>
      </c>
      <c r="D31" t="str">
        <f t="shared" si="0"/>
        <v>UP</v>
      </c>
    </row>
    <row r="32" spans="1:4" x14ac:dyDescent="0.25">
      <c r="A32" t="s">
        <v>77</v>
      </c>
      <c r="B32" s="12">
        <v>1810248.72</v>
      </c>
      <c r="C32" s="7">
        <f t="shared" si="1"/>
        <v>-0.11334738476477242</v>
      </c>
      <c r="D32" t="str">
        <f t="shared" si="0"/>
        <v>DOWN</v>
      </c>
    </row>
    <row r="33" spans="1:4" x14ac:dyDescent="0.25">
      <c r="A33" t="s">
        <v>78</v>
      </c>
      <c r="B33" s="12">
        <v>2269847.15</v>
      </c>
      <c r="C33" s="7">
        <f t="shared" si="1"/>
        <v>0.25388689682376903</v>
      </c>
      <c r="D33" t="str">
        <f t="shared" si="0"/>
        <v>UP</v>
      </c>
    </row>
    <row r="34" spans="1:4" x14ac:dyDescent="0.25">
      <c r="A34" t="s">
        <v>79</v>
      </c>
      <c r="B34" s="12">
        <v>2317015.96</v>
      </c>
      <c r="C34" s="7">
        <f t="shared" si="1"/>
        <v>2.0780610712047311E-2</v>
      </c>
      <c r="D34" t="str">
        <f t="shared" si="0"/>
        <v>UP</v>
      </c>
    </row>
    <row r="35" spans="1:4" x14ac:dyDescent="0.25">
      <c r="A35" t="s">
        <v>80</v>
      </c>
      <c r="B35" s="12">
        <v>1926298.61</v>
      </c>
      <c r="C35" s="7">
        <f t="shared" si="1"/>
        <v>-0.16862954625483023</v>
      </c>
      <c r="D35" t="str">
        <f t="shared" si="0"/>
        <v>DOWN</v>
      </c>
    </row>
    <row r="36" spans="1:4" x14ac:dyDescent="0.25">
      <c r="A36" t="s">
        <v>81</v>
      </c>
      <c r="B36" s="12">
        <v>2316766.54</v>
      </c>
      <c r="C36" s="7">
        <f t="shared" si="1"/>
        <v>0.20270373864828772</v>
      </c>
      <c r="D36" t="str">
        <f t="shared" si="0"/>
        <v>UP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Dashboard</vt:lpstr>
      <vt:lpstr>Regional_Summary</vt:lpstr>
      <vt:lpstr>Product_Summary</vt:lpstr>
      <vt:lpstr>Monthly_Trend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</cp:lastModifiedBy>
  <dcterms:created xsi:type="dcterms:W3CDTF">2025-12-03T14:47:06Z</dcterms:created>
  <dcterms:modified xsi:type="dcterms:W3CDTF">2026-04-24T06:55:19Z</dcterms:modified>
</cp:coreProperties>
</file>